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юджет 2019" sheetId="1" r:id="rId3"/>
    <sheet state="visible" name="Накопления 2019" sheetId="2" r:id="rId4"/>
    <sheet state="visible" name="Статистика месяц" sheetId="3" r:id="rId5"/>
    <sheet state="visible" name="Статистика понедельная" sheetId="4" r:id="rId6"/>
    <sheet state="hidden" name="Инвестиции" sheetId="5" r:id="rId7"/>
  </sheets>
  <definedNames/>
  <calcPr/>
</workbook>
</file>

<file path=xl/sharedStrings.xml><?xml version="1.0" encoding="utf-8"?>
<sst xmlns="http://schemas.openxmlformats.org/spreadsheetml/2006/main" count="249" uniqueCount="180">
  <si>
    <t>Бюджет на 2019 год</t>
  </si>
  <si>
    <t>Андрей</t>
  </si>
  <si>
    <t>11.07  – 09.08.2019</t>
  </si>
  <si>
    <t>28.10 – 11.11.2019</t>
  </si>
  <si>
    <t>Ирина</t>
  </si>
  <si>
    <t>25.03 - 04.04.2019</t>
  </si>
  <si>
    <t>22.07 - 23.08.2019</t>
  </si>
  <si>
    <t xml:space="preserve">План на </t>
  </si>
  <si>
    <t>2 недели</t>
  </si>
  <si>
    <t>1/2 январь</t>
  </si>
  <si>
    <t>2/2 январь</t>
  </si>
  <si>
    <t>1/2 февраль</t>
  </si>
  <si>
    <t>2/2 февраль</t>
  </si>
  <si>
    <t>1/2 март</t>
  </si>
  <si>
    <t>2/2 март</t>
  </si>
  <si>
    <t>1/2 апрель</t>
  </si>
  <si>
    <t>2/2 апрель</t>
  </si>
  <si>
    <t>1/2 май</t>
  </si>
  <si>
    <t>2/2 май</t>
  </si>
  <si>
    <t>1/2 июнь</t>
  </si>
  <si>
    <t>2/2 июнь</t>
  </si>
  <si>
    <t>1/2 июль</t>
  </si>
  <si>
    <t>2/2 июль</t>
  </si>
  <si>
    <t>1/2 август</t>
  </si>
  <si>
    <t>2/2 август</t>
  </si>
  <si>
    <t>1/2 сентябрь</t>
  </si>
  <si>
    <t>2/2 сентябрь</t>
  </si>
  <si>
    <t>1/2 октябрь</t>
  </si>
  <si>
    <t>2/2 октябрь</t>
  </si>
  <si>
    <t>1/2 ноябрь</t>
  </si>
  <si>
    <t>2/2 ноябрь</t>
  </si>
  <si>
    <t>1/2 декабрь</t>
  </si>
  <si>
    <t>2/2 декабрь</t>
  </si>
  <si>
    <t>Остаток денег на начало</t>
  </si>
  <si>
    <t>Итого</t>
  </si>
  <si>
    <t>Доходы</t>
  </si>
  <si>
    <t>Аванс Мой</t>
  </si>
  <si>
    <t>Зарплата Мой</t>
  </si>
  <si>
    <t>Отпускные Мой+Супруга</t>
  </si>
  <si>
    <t>Аванс Супруга</t>
  </si>
  <si>
    <t>Зарплата Супруга</t>
  </si>
  <si>
    <t>Кэшбэк сервис</t>
  </si>
  <si>
    <t>Долги \ Подарки</t>
  </si>
  <si>
    <t>Выплата от ИФНС \ Прочее</t>
  </si>
  <si>
    <t>Итого доходы:</t>
  </si>
  <si>
    <t>Расходы</t>
  </si>
  <si>
    <t>Накопления (на погашение) 30%-Ипотека</t>
  </si>
  <si>
    <t>Ипотека 15.4 т.р. (ВТБ24 9,45%)</t>
  </si>
  <si>
    <t>Доча Школа питание</t>
  </si>
  <si>
    <t>Накопления (строительные) 9%</t>
  </si>
  <si>
    <t>Накопления (отпуск) 11%</t>
  </si>
  <si>
    <t>Накопления (одежда) 6%</t>
  </si>
  <si>
    <t>Коммуналка Квартира</t>
  </si>
  <si>
    <t>Доп. занятия Доча РЦДО</t>
  </si>
  <si>
    <t>Доп. занятия Сын РЦДО</t>
  </si>
  <si>
    <t>Оплата детского сада</t>
  </si>
  <si>
    <t>Оплата электроэнергии+газ</t>
  </si>
  <si>
    <t>Оплата телефон+интернет</t>
  </si>
  <si>
    <t>Доп. занятия Доча Английский</t>
  </si>
  <si>
    <t>Доп. занятия Доча  Радужка ИЗО</t>
  </si>
  <si>
    <t>Доп. занятия Доча Продленка</t>
  </si>
  <si>
    <t>Еда + бытовая химия</t>
  </si>
  <si>
    <t>Автомобиль</t>
  </si>
  <si>
    <t>Бензин</t>
  </si>
  <si>
    <t>Ремонт авто</t>
  </si>
  <si>
    <t>Страхование/Налоги/Штрафы</t>
  </si>
  <si>
    <t>Дом</t>
  </si>
  <si>
    <t>Страхование/Налоги</t>
  </si>
  <si>
    <t>Строительство</t>
  </si>
  <si>
    <t>Семья</t>
  </si>
  <si>
    <t>Одежда+Красота</t>
  </si>
  <si>
    <t>Подарки+праздники+отдых</t>
  </si>
  <si>
    <t>Здоровье и лекарства</t>
  </si>
  <si>
    <t>Отпуск</t>
  </si>
  <si>
    <t>Итого расходы:</t>
  </si>
  <si>
    <t>Доход-Расход: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</si>
  <si>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</si>
  <si>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</si>
  <si>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</si>
  <si>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</si>
  <si>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</si>
  <si>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</si>
  <si>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</si>
  <si>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</si>
  <si>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</si>
  <si>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</si>
  <si>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</si>
  <si>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</si>
  <si>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Доходы Работа</t>
  </si>
  <si>
    <t xml:space="preserve">Доходы Прочие </t>
  </si>
  <si>
    <t>Накопления</t>
  </si>
  <si>
    <t>Расходы дети</t>
  </si>
  <si>
    <t>Расходы еда и одежда</t>
  </si>
  <si>
    <t>Расходы Комуналка</t>
  </si>
  <si>
    <t>Расходы Авто и Дом</t>
  </si>
  <si>
    <t>Доходы - Расходы</t>
  </si>
  <si>
    <t>Доходы-Расходы</t>
  </si>
  <si>
    <t>Название актива</t>
  </si>
  <si>
    <t>Объект вложения</t>
  </si>
  <si>
    <t>Код актива</t>
  </si>
  <si>
    <t>Малый риск</t>
  </si>
  <si>
    <t>Средний риск</t>
  </si>
  <si>
    <t>Высокий риск</t>
  </si>
  <si>
    <t>Стоимость сбалансированного портфеля</t>
  </si>
  <si>
    <t>начало</t>
  </si>
  <si>
    <t>на 13.11.2016</t>
  </si>
  <si>
    <t>Средний % годовых за весь срок</t>
  </si>
  <si>
    <t>Расчетная доходность за последний год</t>
  </si>
  <si>
    <t>Расчетная доходность за 5 лет</t>
  </si>
  <si>
    <t>Расчетная доходность за 10 лет</t>
  </si>
  <si>
    <t>стабильный рост (при стабильной валюте)</t>
  </si>
  <si>
    <t>% роста в портфеле малого риска</t>
  </si>
  <si>
    <t>% роста в портфеле среднего риска</t>
  </si>
  <si>
    <t>% роста в портфеле высокого риска</t>
  </si>
  <si>
    <t>FinEx Tradable Russian Corporate Bonds UCITS ETF (RUB)</t>
  </si>
  <si>
    <t>Еврооблигации российских эмитентов с рублевым хеджем</t>
  </si>
  <si>
    <t>FXRB</t>
  </si>
  <si>
    <t>13,39%</t>
  </si>
  <si>
    <t>32,50%</t>
  </si>
  <si>
    <t>56,04%</t>
  </si>
  <si>
    <t>+</t>
  </si>
  <si>
    <t>FinEx MSCI USA UCITS ETF</t>
  </si>
  <si>
    <t>Акции / США</t>
  </si>
  <si>
    <t>FXUS</t>
  </si>
  <si>
    <t>5,62%</t>
  </si>
  <si>
    <t>83,51%</t>
  </si>
  <si>
    <t>-</t>
  </si>
  <si>
    <t>FinEx MSCI USA Information Technology UCITS ETF</t>
  </si>
  <si>
    <t>Акции / ИТ-Сектор США</t>
  </si>
  <si>
    <t>FXIT</t>
  </si>
  <si>
    <t>8,11%</t>
  </si>
  <si>
    <t>96,58%</t>
  </si>
  <si>
    <t>+/-</t>
  </si>
  <si>
    <t>FinEx Gold ETF</t>
  </si>
  <si>
    <t>Золото</t>
  </si>
  <si>
    <t>FXGD</t>
  </si>
  <si>
    <t>-2,19%</t>
  </si>
  <si>
    <t>-28,82%</t>
  </si>
  <si>
    <t>98,16%</t>
  </si>
  <si>
    <t>FinEx MSCI Japan UCITS ETF</t>
  </si>
  <si>
    <t>Акции / Япония</t>
  </si>
  <si>
    <t>FXJP</t>
  </si>
  <si>
    <t>0,35%</t>
  </si>
  <si>
    <t>46,94%</t>
  </si>
  <si>
    <t>10,49%</t>
  </si>
  <si>
    <t>FinEx Russian RTS Equity UCITS ETF (USD)​</t>
  </si>
  <si>
    <t>Акции/Россия</t>
  </si>
  <si>
    <t>FXRL</t>
  </si>
  <si>
    <t>14,71%</t>
  </si>
  <si>
    <t>-36,62%</t>
  </si>
  <si>
    <t>-43,16%</t>
  </si>
  <si>
    <t>FinEx MSCI China UCITS ETF</t>
  </si>
  <si>
    <t>Акции / Китай</t>
  </si>
  <si>
    <t>FXCN</t>
  </si>
  <si>
    <t>-0,58%</t>
  </si>
  <si>
    <t>25,41%</t>
  </si>
  <si>
    <t>79,24%</t>
  </si>
  <si>
    <t>FinEx MSCI Australia UCITS ETF</t>
  </si>
  <si>
    <t>Акции / Австралия</t>
  </si>
  <si>
    <t>FXAU</t>
  </si>
  <si>
    <t>-2,84%</t>
  </si>
  <si>
    <t>72,91%</t>
  </si>
  <si>
    <t>52,46%</t>
  </si>
  <si>
    <t>FinEx MSCI United Kingdom UCITS ETF</t>
  </si>
  <si>
    <t>Акции / Великобритания</t>
  </si>
  <si>
    <t>FXUK</t>
  </si>
  <si>
    <t>11,29%</t>
  </si>
  <si>
    <t>44,84%</t>
  </si>
  <si>
    <t>55,07%</t>
  </si>
  <si>
    <t>FinEx MSCI Germany UCITS ETF</t>
  </si>
  <si>
    <t>Акции / Германия</t>
  </si>
  <si>
    <t>FXDE</t>
  </si>
  <si>
    <t>16,48%</t>
  </si>
  <si>
    <t>13,99%</t>
  </si>
  <si>
    <t>47,19%</t>
  </si>
  <si>
    <t xml:space="preserve">инвестиционный фонд ФинЭкс денежного рынка </t>
  </si>
  <si>
    <t>FXMM</t>
  </si>
  <si>
    <t>7,06%</t>
  </si>
  <si>
    <t>Минимальный портфель</t>
  </si>
  <si>
    <t>Рост % годовых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</si>
</sst>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#,##0.###############"/>
    <numFmt numFmtId="166" formatCode="0.0000%"/>
  </numFmts>
  <fonts count="9">
    <font>
      <sz val="10.0"/>
      <color rgb="FF000000"/>
      <name val="Arial"/>
    </font>
    <font>
      <b/>
      <sz val="11.0"/>
      <color rgb="FF000000"/>
      <name val="Arial"/>
    </font>
    <font>
      <name val="Arial"/>
    </font>
    <font>
      <sz val="11.0"/>
      <color rgb="FF000000"/>
      <name val="Arial"/>
    </font>
    <font/>
    <font>
      <i/>
      <sz val="11.0"/>
      <color rgb="FF000000"/>
      <name val="Arial"/>
    </font>
    <font>
      <sz val="11.0"/>
      <color rgb="FF000000"/>
      <name val="Calibri"/>
    </font>
    <font>
      <b/>
    </font>
    <font>
      <sz val="11.0"/>
      <color rgb="FF353C50"/>
      <name val="OpenSans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9FC5E8"/>
        <bgColor rgb="FF9FC5E8"/>
      </patternFill>
    </fill>
    <fill>
      <patternFill patternType="solid">
        <fgColor rgb="FF8DB3E2"/>
        <bgColor rgb="FF8DB3E2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0" fontId="4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ill="1" applyFont="1">
      <alignment readingOrder="0" shrinkToFit="0" vertical="bottom" wrapText="0"/>
    </xf>
    <xf borderId="2" fillId="4" fontId="3" numFmtId="165" xfId="0" applyAlignment="1" applyBorder="1" applyFont="1" applyNumberFormat="1">
      <alignment horizontal="center" readingOrder="0" shrinkToFit="0" vertical="center" wrapText="0"/>
    </xf>
    <xf borderId="2" fillId="5" fontId="1" numFmtId="0" xfId="0" applyAlignment="1" applyBorder="1" applyFill="1" applyFont="1">
      <alignment readingOrder="0" shrinkToFit="0" vertical="bottom" wrapText="0"/>
    </xf>
    <xf borderId="2" fillId="5" fontId="3" numFmtId="165" xfId="0" applyAlignment="1" applyBorder="1" applyFont="1" applyNumberFormat="1">
      <alignment shrinkToFit="0" vertical="bottom" wrapText="0"/>
    </xf>
    <xf borderId="2" fillId="5" fontId="3" numFmtId="0" xfId="0" applyAlignment="1" applyBorder="1" applyFont="1">
      <alignment shrinkToFit="0" vertical="bottom" wrapText="0"/>
    </xf>
    <xf borderId="2" fillId="5" fontId="3" numFmtId="0" xfId="0" applyAlignment="1" applyBorder="1" applyFont="1">
      <alignment readingOrder="0" shrinkToFit="0" vertical="bottom" wrapText="0"/>
    </xf>
    <xf borderId="2" fillId="5" fontId="3" numFmtId="165" xfId="0" applyAlignment="1" applyBorder="1" applyFont="1" applyNumberFormat="1">
      <alignment readingOrder="0" shrinkToFit="0" vertical="bottom" wrapText="0"/>
    </xf>
    <xf borderId="2" fillId="5" fontId="3" numFmtId="165" xfId="0" applyAlignment="1" applyBorder="1" applyFont="1" applyNumberFormat="1">
      <alignment horizontal="right" readingOrder="0" shrinkToFit="0" vertical="bottom" wrapText="0"/>
    </xf>
    <xf borderId="3" fillId="5" fontId="3" numFmtId="165" xfId="0" applyAlignment="1" applyBorder="1" applyFont="1" applyNumberFormat="1">
      <alignment horizontal="right" readingOrder="0" shrinkToFit="0" vertical="bottom" wrapText="0"/>
    </xf>
    <xf borderId="2" fillId="6" fontId="3" numFmtId="0" xfId="0" applyAlignment="1" applyBorder="1" applyFill="1" applyFont="1">
      <alignment horizontal="right" readingOrder="0" shrinkToFit="0" vertical="bottom" wrapText="0"/>
    </xf>
    <xf borderId="2" fillId="6" fontId="3" numFmtId="165" xfId="0" applyAlignment="1" applyBorder="1" applyFont="1" applyNumberFormat="1">
      <alignment shrinkToFit="0" vertical="bottom" wrapText="0"/>
    </xf>
    <xf borderId="2" fillId="6" fontId="3" numFmtId="165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165" xfId="0" applyAlignment="1" applyBorder="1" applyFont="1" applyNumberForma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5" fillId="0" fontId="3" numFmtId="165" xfId="0" applyAlignment="1" applyBorder="1" applyFont="1" applyNumberFormat="1">
      <alignment shrinkToFit="0" vertical="bottom" wrapText="0"/>
    </xf>
    <xf borderId="4" fillId="0" fontId="3" numFmtId="165" xfId="0" applyAlignment="1" applyBorder="1" applyFont="1" applyNumberFormat="1">
      <alignment readingOrder="0" shrinkToFit="0" vertical="bottom" wrapText="0"/>
    </xf>
    <xf borderId="2" fillId="7" fontId="1" numFmtId="0" xfId="0" applyAlignment="1" applyBorder="1" applyFill="1" applyFont="1">
      <alignment readingOrder="0" shrinkToFit="0" vertical="bottom" wrapText="0"/>
    </xf>
    <xf borderId="2" fillId="7" fontId="3" numFmtId="165" xfId="0" applyAlignment="1" applyBorder="1" applyFont="1" applyNumberFormat="1">
      <alignment shrinkToFit="0" vertical="bottom" wrapText="0"/>
    </xf>
    <xf borderId="2" fillId="7" fontId="3" numFmtId="0" xfId="0" applyAlignment="1" applyBorder="1" applyFont="1">
      <alignment readingOrder="0" shrinkToFit="0" vertical="bottom" wrapText="0"/>
    </xf>
    <xf borderId="2" fillId="7" fontId="3" numFmtId="165" xfId="0" applyAlignment="1" applyBorder="1" applyFont="1" applyNumberFormat="1">
      <alignment readingOrder="0" shrinkToFit="0" vertical="bottom" wrapText="0"/>
    </xf>
    <xf borderId="2" fillId="7" fontId="5" numFmtId="165" xfId="0" applyAlignment="1" applyBorder="1" applyFont="1" applyNumberFormat="1">
      <alignment readingOrder="0" shrinkToFit="0" vertical="bottom" wrapText="0"/>
    </xf>
    <xf borderId="2" fillId="8" fontId="3" numFmtId="0" xfId="0" applyAlignment="1" applyBorder="1" applyFill="1" applyFont="1">
      <alignment readingOrder="0" shrinkToFit="0" vertical="bottom" wrapText="0"/>
    </xf>
    <xf borderId="2" fillId="8" fontId="3" numFmtId="165" xfId="0" applyAlignment="1" applyBorder="1" applyFont="1" applyNumberFormat="1">
      <alignment readingOrder="0" shrinkToFit="0" vertical="bottom" wrapText="0"/>
    </xf>
    <xf borderId="2" fillId="8" fontId="3" numFmtId="0" xfId="0" applyAlignment="1" applyBorder="1" applyFont="1">
      <alignment readingOrder="0" shrinkToFit="0" vertical="bottom" wrapText="0"/>
    </xf>
    <xf borderId="2" fillId="8" fontId="3" numFmtId="0" xfId="0" applyAlignment="1" applyBorder="1" applyFont="1">
      <alignment horizontal="left" readingOrder="0" shrinkToFit="0" wrapText="0"/>
    </xf>
    <xf borderId="2" fillId="8" fontId="3" numFmtId="0" xfId="0" applyAlignment="1" applyBorder="1" applyFont="1">
      <alignment horizontal="left" readingOrder="0" shrinkToFit="0" wrapText="1"/>
    </xf>
    <xf borderId="2" fillId="9" fontId="1" numFmtId="0" xfId="0" applyAlignment="1" applyBorder="1" applyFill="1" applyFont="1">
      <alignment horizontal="right" readingOrder="0" shrinkToFit="0" vertical="bottom" wrapText="0"/>
    </xf>
    <xf borderId="2" fillId="9" fontId="3" numFmtId="165" xfId="0" applyAlignment="1" applyBorder="1" applyFont="1" applyNumberFormat="1">
      <alignment readingOrder="0" shrinkToFit="0" vertical="bottom" wrapText="0"/>
    </xf>
    <xf borderId="2" fillId="9" fontId="3" numFmtId="0" xfId="0" applyAlignment="1" applyBorder="1" applyFont="1">
      <alignment readingOrder="0" shrinkToFit="0" vertical="bottom" wrapText="0"/>
    </xf>
    <xf borderId="2" fillId="9" fontId="3" numFmtId="0" xfId="0" applyAlignment="1" applyBorder="1" applyFont="1">
      <alignment readingOrder="0" shrinkToFit="0" vertical="bottom" wrapText="0"/>
    </xf>
    <xf borderId="2" fillId="7" fontId="1" numFmtId="0" xfId="0" applyAlignment="1" applyBorder="1" applyFont="1">
      <alignment horizontal="right" readingOrder="0" shrinkToFit="0" vertical="bottom" wrapText="0"/>
    </xf>
    <xf borderId="2" fillId="9" fontId="3" numFmtId="165" xfId="0" applyAlignment="1" applyBorder="1" applyFont="1" applyNumberFormat="1">
      <alignment shrinkToFit="0" vertical="bottom" wrapText="0"/>
    </xf>
    <xf borderId="2" fillId="9" fontId="3" numFmtId="165" xfId="0" applyAlignment="1" applyBorder="1" applyFont="1" applyNumberFormat="1">
      <alignment horizontal="right" readingOrder="0" shrinkToFit="0" vertical="bottom" wrapText="0"/>
    </xf>
    <xf borderId="4" fillId="9" fontId="3" numFmtId="165" xfId="0" applyAlignment="1" applyBorder="1" applyFont="1" applyNumberFormat="1">
      <alignment horizontal="right" readingOrder="0" shrinkToFit="0" vertical="bottom" wrapText="0"/>
    </xf>
    <xf borderId="2" fillId="10" fontId="3" numFmtId="0" xfId="0" applyAlignment="1" applyBorder="1" applyFill="1" applyFont="1">
      <alignment horizontal="right" readingOrder="0" shrinkToFit="0" vertical="bottom" wrapText="0"/>
    </xf>
    <xf borderId="2" fillId="10" fontId="3" numFmtId="165" xfId="0" applyAlignment="1" applyBorder="1" applyFont="1" applyNumberFormat="1">
      <alignment horizontal="right" shrinkToFit="0" vertical="bottom" wrapText="0"/>
    </xf>
    <xf borderId="2" fillId="7" fontId="3" numFmtId="0" xfId="0" applyAlignment="1" applyBorder="1" applyFont="1">
      <alignment horizontal="right" readingOrder="0" shrinkToFit="0" vertical="bottom" wrapText="0"/>
    </xf>
    <xf borderId="3" fillId="7" fontId="3" numFmtId="165" xfId="0" applyAlignment="1" applyBorder="1" applyFont="1" applyNumberFormat="1">
      <alignment horizontal="right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1"/>
    </xf>
    <xf borderId="2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4" fontId="6" numFmtId="0" xfId="0" applyAlignment="1" applyBorder="1" applyFont="1">
      <alignment horizontal="left" readingOrder="0" shrinkToFit="0" vertical="bottom" wrapText="0"/>
    </xf>
    <xf borderId="2" fillId="4" fontId="6" numFmtId="165" xfId="0" applyAlignment="1" applyBorder="1" applyFont="1" applyNumberFormat="1">
      <alignment horizontal="center" shrinkToFit="0" vertical="center" wrapText="0"/>
    </xf>
    <xf borderId="2" fillId="4" fontId="6" numFmtId="165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1"/>
    </xf>
    <xf borderId="0" fillId="0" fontId="4" numFmtId="10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0" fontId="4" numFmtId="165" xfId="0" applyAlignment="1" applyFont="1" applyNumberFormat="1">
      <alignment shrinkToFit="0" wrapText="1"/>
    </xf>
    <xf borderId="0" fillId="0" fontId="7" numFmtId="0" xfId="0" applyAlignment="1" applyFont="1">
      <alignment readingOrder="0" shrinkToFit="0" wrapText="1"/>
    </xf>
    <xf borderId="0" fillId="2" fontId="8" numFmtId="0" xfId="0" applyAlignment="1" applyFont="1">
      <alignment readingOrder="0" shrinkToFit="0" wrapText="1"/>
    </xf>
    <xf borderId="0" fillId="2" fontId="8" numFmtId="10" xfId="0" applyAlignment="1" applyFont="1" applyNumberFormat="1">
      <alignment readingOrder="0" shrinkToFit="0" wrapText="1"/>
    </xf>
    <xf borderId="0" fillId="0" fontId="4" numFmtId="2" xfId="0" applyAlignment="1" applyFont="1" applyNumberFormat="1">
      <alignment readingOrder="0" shrinkToFit="0" wrapText="1"/>
    </xf>
    <xf borderId="0" fillId="0" fontId="4" numFmtId="10" xfId="0" applyAlignment="1" applyFont="1" applyNumberFormat="1">
      <alignment shrinkToFit="0" wrapText="1"/>
    </xf>
    <xf quotePrefix="1" borderId="0" fillId="0" fontId="4" numFmtId="0" xfId="0" applyAlignment="1" applyFont="1">
      <alignment readingOrder="0" shrinkToFit="0" wrapText="1"/>
    </xf>
    <xf borderId="0" fillId="0" fontId="4" numFmtId="166" xfId="0" applyAlignment="1" applyFont="1" applyNumberFormat="1">
      <alignment shrinkToFit="0" wrapText="1"/>
    </xf>
    <xf borderId="0" fillId="2" fontId="8" numFmtId="10" xfId="0" applyAlignment="1" applyFont="1" applyNumberFormat="1">
      <alignment horizontal="right" readingOrder="0" shrinkToFit="0" wrapText="1"/>
    </xf>
    <xf borderId="0" fillId="0" fontId="4" numFmtId="10" xfId="0" applyAlignment="1" applyFont="1" applyNumberFormat="1">
      <alignment horizontal="center" readingOrder="0" shrinkToFit="0" wrapText="1"/>
    </xf>
    <xf borderId="0" fillId="0" fontId="7" numFmtId="166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Доходы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'Статистика месяц'!$A$2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месяц'!$B$2:$M$2</c:f>
              <c:numCache/>
            </c:numRef>
          </c:val>
        </c:ser>
        <c:ser>
          <c:idx val="1"/>
          <c:order val="1"/>
          <c:tx>
            <c:strRef>
              <c:f>'Статистика месяц'!$A$3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месяц'!$B$3:$M$3</c:f>
              <c:numCache/>
            </c:numRef>
          </c:val>
        </c:ser>
        <c:overlap val="100"/>
        <c:axId val="24151385"/>
        <c:axId val="1682203826"/>
      </c:barChart>
      <c:catAx>
        <c:axId val="241513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2203826"/>
      </c:catAx>
      <c:valAx>
        <c:axId val="16822038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1513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Расходы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'Статистика месяц'!$A$4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месяц'!$B$4:$M$4</c:f>
              <c:numCache/>
            </c:numRef>
          </c:val>
        </c:ser>
        <c:ser>
          <c:idx val="1"/>
          <c:order val="1"/>
          <c:tx>
            <c:strRef>
              <c:f>'Статистика месяц'!$A$5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месяц'!$B$5:$M$5</c:f>
              <c:numCache/>
            </c:numRef>
          </c:val>
        </c:ser>
        <c:ser>
          <c:idx val="2"/>
          <c:order val="2"/>
          <c:tx>
            <c:strRef>
              <c:f>'Статистика месяц'!$A$6</c:f>
            </c:strRef>
          </c:tx>
          <c:spPr>
            <a:solidFill>
              <a:srgbClr val="F4B400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месяц'!$B$6:$M$6</c:f>
              <c:numCache/>
            </c:numRef>
          </c:val>
        </c:ser>
        <c:ser>
          <c:idx val="3"/>
          <c:order val="3"/>
          <c:tx>
            <c:strRef>
              <c:f>'Статистика месяц'!$A$7</c:f>
            </c:strRef>
          </c:tx>
          <c:spPr>
            <a:solidFill>
              <a:srgbClr val="0F9D58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месяц'!$B$7:$M$7</c:f>
              <c:numCache/>
            </c:numRef>
          </c:val>
        </c:ser>
        <c:ser>
          <c:idx val="4"/>
          <c:order val="4"/>
          <c:tx>
            <c:strRef>
              <c:f>'Статистика месяц'!$A$8</c:f>
            </c:strRef>
          </c:tx>
          <c:spPr>
            <a:solidFill>
              <a:srgbClr val="FF6D00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месяц'!$B$8:$M$8</c:f>
              <c:numCache/>
            </c:numRef>
          </c:val>
        </c:ser>
        <c:ser>
          <c:idx val="5"/>
          <c:order val="5"/>
          <c:tx>
            <c:strRef>
              <c:f>'Статистика месяц'!$A$9</c:f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месяц'!$B$9:$M$9</c:f>
              <c:numCache/>
            </c:numRef>
          </c:val>
        </c:ser>
        <c:overlap val="100"/>
        <c:axId val="1855935406"/>
        <c:axId val="1613236634"/>
      </c:barChart>
      <c:catAx>
        <c:axId val="18559354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3236634"/>
      </c:catAx>
      <c:valAx>
        <c:axId val="16132366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59354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Доходы - Расходы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'Статистика месяц'!$A$10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месяц'!$B$1:$M$1</c:f>
            </c:strRef>
          </c:cat>
          <c:val>
            <c:numRef>
              <c:f>'Статистика месяц'!$B$10:$M$10</c:f>
              <c:numCache/>
            </c:numRef>
          </c:val>
        </c:ser>
        <c:axId val="1226577922"/>
        <c:axId val="1785734544"/>
      </c:barChart>
      <c:catAx>
        <c:axId val="1226577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5734544"/>
      </c:catAx>
      <c:valAx>
        <c:axId val="1785734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6577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Доходы Работа и Доходы Прочие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'Статистика понедельная'!$A$2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понедельная'!$B$2:$Y$2</c:f>
              <c:numCache/>
            </c:numRef>
          </c:val>
        </c:ser>
        <c:ser>
          <c:idx val="1"/>
          <c:order val="1"/>
          <c:tx>
            <c:strRef>
              <c:f>'Статистика понедельная'!$A$3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понедельная'!$B$3:$Y$3</c:f>
              <c:numCache/>
            </c:numRef>
          </c:val>
        </c:ser>
        <c:overlap val="100"/>
        <c:axId val="953377028"/>
        <c:axId val="1482611614"/>
      </c:barChart>
      <c:catAx>
        <c:axId val="9533770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2611614"/>
      </c:catAx>
      <c:valAx>
        <c:axId val="1482611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33770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Накопления, Расходы дети, Расходы еда и одежда, Расходы Комуналка, Расходы Авто и Дом…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'Статистика понедельная'!$A$4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понедельная'!$B$4:$Y$4</c:f>
              <c:numCache/>
            </c:numRef>
          </c:val>
        </c:ser>
        <c:ser>
          <c:idx val="1"/>
          <c:order val="1"/>
          <c:tx>
            <c:strRef>
              <c:f>'Статистика понедельная'!$A$5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понедельная'!$B$5:$Y$5</c:f>
              <c:numCache/>
            </c:numRef>
          </c:val>
        </c:ser>
        <c:ser>
          <c:idx val="2"/>
          <c:order val="2"/>
          <c:tx>
            <c:strRef>
              <c:f>'Статистика понедельная'!$A$6</c:f>
            </c:strRef>
          </c:tx>
          <c:spPr>
            <a:solidFill>
              <a:srgbClr val="F4B400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понедельная'!$B$6:$Y$6</c:f>
              <c:numCache/>
            </c:numRef>
          </c:val>
        </c:ser>
        <c:ser>
          <c:idx val="3"/>
          <c:order val="3"/>
          <c:tx>
            <c:strRef>
              <c:f>'Статистика понедельная'!$A$7</c:f>
            </c:strRef>
          </c:tx>
          <c:spPr>
            <a:solidFill>
              <a:srgbClr val="0F9D58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понедельная'!$B$7:$Y$7</c:f>
              <c:numCache/>
            </c:numRef>
          </c:val>
        </c:ser>
        <c:ser>
          <c:idx val="4"/>
          <c:order val="4"/>
          <c:tx>
            <c:strRef>
              <c:f>'Статистика понедельная'!$A$8</c:f>
            </c:strRef>
          </c:tx>
          <c:spPr>
            <a:solidFill>
              <a:srgbClr val="FF6D00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понедельная'!$B$8:$Y$8</c:f>
              <c:numCache/>
            </c:numRef>
          </c:val>
        </c:ser>
        <c:ser>
          <c:idx val="5"/>
          <c:order val="5"/>
          <c:tx>
            <c:strRef>
              <c:f>'Статистика понедельная'!$A$9</c:f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'Статистика понедельная'!$B$1:$Y$1</c:f>
            </c:strRef>
          </c:cat>
          <c:val>
            <c:numRef>
              <c:f>'Статистика понедельная'!$B$9:$Y$9</c:f>
              <c:numCache/>
            </c:numRef>
          </c:val>
        </c:ser>
        <c:overlap val="100"/>
        <c:axId val="499506531"/>
        <c:axId val="1013429949"/>
      </c:barChart>
      <c:catAx>
        <c:axId val="4995065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3429949"/>
      </c:catAx>
      <c:valAx>
        <c:axId val="10134299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95065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9525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695325</xdr:colOff>
      <xdr:row>12</xdr:row>
      <xdr:rowOff>9525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9525</xdr:rowOff>
    </xdr:from>
    <xdr:ext cx="5715000" cy="32194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12</xdr:row>
      <xdr:rowOff>9525</xdr:rowOff>
    </xdr:from>
    <xdr:ext cx="7038975" cy="43529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962025</xdr:colOff>
      <xdr:row>12</xdr:row>
      <xdr:rowOff>9525</xdr:rowOff>
    </xdr:from>
    <xdr:ext cx="7038975" cy="43529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2.75"/>
  <cols>
    <col customWidth="1" min="1" max="1" width="27.5"/>
    <col customWidth="1" min="2" max="2" width="8.0"/>
    <col customWidth="1" min="3" max="3" width="7.63"/>
    <col customWidth="1" min="4" max="5" width="9.5"/>
    <col customWidth="1" min="6" max="7" width="11.0"/>
    <col customWidth="1" min="8" max="19" width="9.5"/>
    <col customWidth="1" min="20" max="21" width="11.75"/>
    <col customWidth="1" min="22" max="27" width="10.75"/>
  </cols>
  <sheetData>
    <row r="1" ht="15.0" customHeight="1">
      <c r="A1" s="1" t="s">
        <v>0</v>
      </c>
      <c r="B1" s="2"/>
      <c r="C1" s="2"/>
      <c r="D1" s="2"/>
      <c r="E1" s="3"/>
      <c r="F1" s="4"/>
      <c r="G1" s="4"/>
      <c r="H1" s="3"/>
      <c r="I1" s="2"/>
      <c r="J1" s="4"/>
      <c r="K1" s="5"/>
      <c r="L1" s="5"/>
      <c r="M1" s="5"/>
      <c r="N1" s="4"/>
      <c r="O1" s="4"/>
      <c r="P1" s="4"/>
      <c r="Q1" s="3" t="s">
        <v>1</v>
      </c>
      <c r="R1" s="6" t="s">
        <v>2</v>
      </c>
      <c r="S1" s="7"/>
      <c r="T1" s="8"/>
      <c r="U1" s="4"/>
      <c r="V1" s="4"/>
      <c r="W1" s="3" t="s">
        <v>1</v>
      </c>
      <c r="X1" s="6" t="s">
        <v>3</v>
      </c>
      <c r="Y1" s="7"/>
      <c r="Z1" s="4"/>
      <c r="AA1" s="4"/>
    </row>
    <row r="2" ht="15.0" customHeight="1">
      <c r="A2" s="3"/>
      <c r="B2" s="2"/>
      <c r="C2" s="2"/>
      <c r="D2" s="2"/>
      <c r="E2" s="3"/>
      <c r="F2" s="9"/>
      <c r="G2" s="3"/>
      <c r="H2" s="3" t="s">
        <v>4</v>
      </c>
      <c r="I2" s="6" t="s">
        <v>5</v>
      </c>
      <c r="J2" s="7"/>
      <c r="K2" s="5"/>
      <c r="L2" s="5"/>
      <c r="M2" s="5"/>
      <c r="N2" s="4"/>
      <c r="O2" s="4"/>
      <c r="P2" s="4"/>
      <c r="Q2" s="3" t="s">
        <v>4</v>
      </c>
      <c r="R2" s="6" t="s">
        <v>6</v>
      </c>
      <c r="S2" s="7"/>
      <c r="T2" s="10"/>
      <c r="U2" s="4"/>
      <c r="V2" s="4"/>
      <c r="W2" s="4"/>
      <c r="X2" s="4"/>
      <c r="Y2" s="4"/>
      <c r="Z2" s="4"/>
      <c r="AA2" s="4"/>
    </row>
    <row r="3" ht="15.75" customHeight="1">
      <c r="A3" s="11"/>
      <c r="B3" s="11"/>
      <c r="C3" s="12" t="s">
        <v>7</v>
      </c>
      <c r="D3" s="11" t="str">
        <f t="shared" ref="D3:AA3" si="1">IF(D5&lt;10000,"!Мало!","")</f>
        <v/>
      </c>
      <c r="E3" s="11" t="str">
        <f t="shared" si="1"/>
        <v/>
      </c>
      <c r="F3" s="11" t="str">
        <f t="shared" si="1"/>
        <v/>
      </c>
      <c r="G3" s="11" t="str">
        <f t="shared" si="1"/>
        <v/>
      </c>
      <c r="H3" s="11" t="str">
        <f t="shared" si="1"/>
        <v/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1" t="str">
        <f t="shared" si="1"/>
        <v/>
      </c>
      <c r="O3" s="11" t="str">
        <f t="shared" si="1"/>
        <v>!Мало!</v>
      </c>
      <c r="P3" s="11" t="str">
        <f t="shared" si="1"/>
        <v>!Мало!</v>
      </c>
      <c r="Q3" s="11" t="str">
        <f t="shared" si="1"/>
        <v/>
      </c>
      <c r="R3" s="11" t="str">
        <f t="shared" si="1"/>
        <v/>
      </c>
      <c r="S3" s="11" t="str">
        <f t="shared" si="1"/>
        <v/>
      </c>
      <c r="T3" s="11" t="str">
        <f t="shared" si="1"/>
        <v/>
      </c>
      <c r="U3" s="11" t="str">
        <f t="shared" si="1"/>
        <v/>
      </c>
      <c r="V3" s="11" t="str">
        <f t="shared" si="1"/>
        <v/>
      </c>
      <c r="W3" s="11" t="str">
        <f t="shared" si="1"/>
        <v/>
      </c>
      <c r="X3" s="11" t="str">
        <f t="shared" si="1"/>
        <v/>
      </c>
      <c r="Y3" s="11" t="str">
        <f t="shared" si="1"/>
        <v/>
      </c>
      <c r="Z3" s="11" t="str">
        <f t="shared" si="1"/>
        <v/>
      </c>
      <c r="AA3" s="11" t="str">
        <f t="shared" si="1"/>
        <v>!Мало!</v>
      </c>
    </row>
    <row r="4" ht="15.75" customHeight="1">
      <c r="A4" s="13"/>
      <c r="B4" s="14"/>
      <c r="C4" s="15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15</v>
      </c>
      <c r="K4" s="14" t="s">
        <v>16</v>
      </c>
      <c r="L4" s="14" t="s">
        <v>17</v>
      </c>
      <c r="M4" s="14" t="s">
        <v>18</v>
      </c>
      <c r="N4" s="14" t="s">
        <v>19</v>
      </c>
      <c r="O4" s="14" t="s">
        <v>20</v>
      </c>
      <c r="P4" s="14" t="s">
        <v>21</v>
      </c>
      <c r="Q4" s="14" t="s">
        <v>22</v>
      </c>
      <c r="R4" s="14" t="s">
        <v>23</v>
      </c>
      <c r="S4" s="14" t="s">
        <v>24</v>
      </c>
      <c r="T4" s="14" t="s">
        <v>25</v>
      </c>
      <c r="U4" s="14" t="s">
        <v>26</v>
      </c>
      <c r="V4" s="14" t="s">
        <v>27</v>
      </c>
      <c r="W4" s="14" t="s">
        <v>28</v>
      </c>
      <c r="X4" s="14" t="s">
        <v>29</v>
      </c>
      <c r="Y4" s="14" t="s">
        <v>30</v>
      </c>
      <c r="Z4" s="14" t="s">
        <v>31</v>
      </c>
      <c r="AA4" s="14" t="s">
        <v>32</v>
      </c>
    </row>
    <row r="5" ht="15.75" customHeight="1">
      <c r="A5" s="16" t="s">
        <v>33</v>
      </c>
      <c r="B5" s="17" t="s">
        <v>34</v>
      </c>
      <c r="C5" s="17">
        <v>61000.0</v>
      </c>
      <c r="D5" s="17">
        <f>40000+17000</f>
        <v>57000</v>
      </c>
      <c r="E5" s="17">
        <f>D5+D16-D47</f>
        <v>65561</v>
      </c>
      <c r="F5" s="17">
        <f>40700+14610</f>
        <v>55310</v>
      </c>
      <c r="G5" s="17">
        <v>35900.0</v>
      </c>
      <c r="H5" s="17">
        <v>56300.0</v>
      </c>
      <c r="I5" s="17">
        <f>12500+5400+2500</f>
        <v>20400</v>
      </c>
      <c r="J5" s="17">
        <f>14160+20000+40000</f>
        <v>74160</v>
      </c>
      <c r="K5" s="17">
        <f>59400+17720</f>
        <v>77120</v>
      </c>
      <c r="L5" s="17">
        <f>K5+K16-K47-50000</f>
        <v>44445</v>
      </c>
      <c r="M5" s="17">
        <f>L5+L16-L47+30000</f>
        <v>62717</v>
      </c>
      <c r="N5" s="17">
        <f>31225</f>
        <v>31225</v>
      </c>
      <c r="O5" s="17">
        <v>5410.0</v>
      </c>
      <c r="P5" s="17">
        <v>7500.0</v>
      </c>
      <c r="Q5" s="17">
        <f t="shared" ref="Q5:R5" si="2">P5+P16-P47</f>
        <v>82757</v>
      </c>
      <c r="R5" s="17">
        <f t="shared" si="2"/>
        <v>194746</v>
      </c>
      <c r="S5" s="17">
        <f>119000+41200+15100+15200+25000+6000</f>
        <v>221500</v>
      </c>
      <c r="T5" s="17">
        <f>S5+S16-S47</f>
        <v>238288</v>
      </c>
      <c r="U5" s="17">
        <f>76400+15260+50510+1500</f>
        <v>143670</v>
      </c>
      <c r="V5" s="17">
        <f>U5+U16-U47</f>
        <v>145356</v>
      </c>
      <c r="W5" s="17">
        <f>51300</f>
        <v>51300</v>
      </c>
      <c r="X5" s="17">
        <f>50000+27000</f>
        <v>77000</v>
      </c>
      <c r="Y5" s="17">
        <f>51800+21700</f>
        <v>73500</v>
      </c>
      <c r="Z5" s="17">
        <f>30000+7200+25000+1900-11300</f>
        <v>52800</v>
      </c>
      <c r="AA5" s="17">
        <f>7800+2300-17000</f>
        <v>-6900</v>
      </c>
    </row>
    <row r="6" ht="15.0" customHeight="1">
      <c r="A6" s="18" t="s">
        <v>35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5.0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5.0" customHeight="1">
      <c r="A8" s="21" t="s">
        <v>36</v>
      </c>
      <c r="B8" s="22">
        <f t="shared" ref="B8:B15" si="3">SUM(D8:AA8)</f>
        <v>240332</v>
      </c>
      <c r="C8" s="22">
        <v>0.0</v>
      </c>
      <c r="D8" s="22">
        <f>20200+14750</f>
        <v>34950</v>
      </c>
      <c r="E8" s="22">
        <v>0.0</v>
      </c>
      <c r="F8" s="22">
        <f>20250+3500</f>
        <v>23750</v>
      </c>
      <c r="G8" s="22">
        <v>0.0</v>
      </c>
      <c r="H8" s="22">
        <v>20200.0</v>
      </c>
      <c r="I8" s="22">
        <v>0.0</v>
      </c>
      <c r="J8" s="22">
        <v>20200.0</v>
      </c>
      <c r="K8" s="22">
        <v>0.0</v>
      </c>
      <c r="L8" s="22">
        <v>20200.0</v>
      </c>
      <c r="M8" s="22">
        <v>0.0</v>
      </c>
      <c r="N8" s="22">
        <v>20200.0</v>
      </c>
      <c r="O8" s="22">
        <v>0.0</v>
      </c>
      <c r="P8" s="22">
        <v>20200.0</v>
      </c>
      <c r="Q8" s="22">
        <v>0.0</v>
      </c>
      <c r="R8" s="22">
        <v>15095.0</v>
      </c>
      <c r="S8" s="22">
        <v>0.0</v>
      </c>
      <c r="T8" s="22">
        <v>7550.0</v>
      </c>
      <c r="U8" s="22">
        <v>0.0</v>
      </c>
      <c r="V8" s="22">
        <v>20750.0</v>
      </c>
      <c r="W8" s="22">
        <v>0.0</v>
      </c>
      <c r="X8" s="22">
        <v>20750.0</v>
      </c>
      <c r="Y8" s="22">
        <v>0.0</v>
      </c>
      <c r="Z8" s="22">
        <v>8300.0</v>
      </c>
      <c r="AA8" s="22">
        <v>8187.0</v>
      </c>
    </row>
    <row r="9" ht="15.0" customHeight="1">
      <c r="A9" s="21" t="s">
        <v>37</v>
      </c>
      <c r="B9" s="22">
        <f t="shared" si="3"/>
        <v>678803</v>
      </c>
      <c r="C9" s="22">
        <v>0.0</v>
      </c>
      <c r="D9" s="22">
        <v>0.0</v>
      </c>
      <c r="E9" s="22">
        <v>54000.0</v>
      </c>
      <c r="F9" s="22">
        <v>0.0</v>
      </c>
      <c r="G9" s="22">
        <v>56450.0</v>
      </c>
      <c r="H9" s="22">
        <v>0.0</v>
      </c>
      <c r="I9" s="22">
        <v>66050.0</v>
      </c>
      <c r="J9" s="22">
        <v>0.0</v>
      </c>
      <c r="K9" s="22">
        <v>64850.0</v>
      </c>
      <c r="L9" s="22">
        <v>0.0</v>
      </c>
      <c r="M9" s="22">
        <v>64480.0</v>
      </c>
      <c r="N9" s="22">
        <v>0.0</v>
      </c>
      <c r="O9" s="22">
        <v>64480.0</v>
      </c>
      <c r="P9" s="22">
        <v>0.0</v>
      </c>
      <c r="Q9" s="22">
        <f>64970+1572</f>
        <v>66542</v>
      </c>
      <c r="R9" s="22">
        <v>0.0</v>
      </c>
      <c r="S9" s="22">
        <v>41300.0</v>
      </c>
      <c r="T9" s="22">
        <v>0.0</v>
      </c>
      <c r="U9" s="22">
        <v>37700.0</v>
      </c>
      <c r="V9" s="22">
        <v>0.0</v>
      </c>
      <c r="W9" s="22">
        <v>59460.0</v>
      </c>
      <c r="X9" s="22">
        <v>0.0</v>
      </c>
      <c r="Y9" s="22">
        <v>50990.0</v>
      </c>
      <c r="Z9" s="22">
        <v>0.0</v>
      </c>
      <c r="AA9" s="22">
        <v>52501.0</v>
      </c>
    </row>
    <row r="10" ht="15.0" customHeight="1">
      <c r="A10" s="21" t="s">
        <v>38</v>
      </c>
      <c r="B10" s="22">
        <f t="shared" si="3"/>
        <v>283040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27000.0</v>
      </c>
      <c r="J10" s="22">
        <v>0.0</v>
      </c>
      <c r="K10" s="22">
        <v>0.0</v>
      </c>
      <c r="L10" s="22">
        <v>0.0</v>
      </c>
      <c r="M10" s="22">
        <v>0.0</v>
      </c>
      <c r="N10" s="22">
        <v>0.0</v>
      </c>
      <c r="O10" s="22">
        <v>0.0</v>
      </c>
      <c r="P10" s="22">
        <f>87363+11877</f>
        <v>99240</v>
      </c>
      <c r="Q10" s="22">
        <f>12780+81860</f>
        <v>94640</v>
      </c>
      <c r="R10" s="22">
        <v>0.0</v>
      </c>
      <c r="S10" s="22">
        <v>0.0</v>
      </c>
      <c r="T10" s="22">
        <v>0.0</v>
      </c>
      <c r="U10" s="22">
        <v>0.0</v>
      </c>
      <c r="V10" s="22">
        <v>20200.0</v>
      </c>
      <c r="W10" s="22">
        <v>41960.0</v>
      </c>
      <c r="X10" s="22">
        <v>0.0</v>
      </c>
      <c r="Y10" s="22">
        <v>0.0</v>
      </c>
      <c r="Z10" s="22">
        <v>0.0</v>
      </c>
      <c r="AA10" s="22">
        <v>0.0</v>
      </c>
    </row>
    <row r="11" ht="15.0" customHeight="1">
      <c r="A11" s="21" t="s">
        <v>39</v>
      </c>
      <c r="B11" s="22">
        <f t="shared" si="3"/>
        <v>223900</v>
      </c>
      <c r="C11" s="22">
        <v>0.0</v>
      </c>
      <c r="D11" s="22">
        <f>22900+15000</f>
        <v>37900</v>
      </c>
      <c r="E11" s="22">
        <v>0.0</v>
      </c>
      <c r="F11" s="22">
        <f>18900+2200</f>
        <v>21100</v>
      </c>
      <c r="G11" s="22">
        <v>0.0</v>
      </c>
      <c r="H11" s="22">
        <v>18900.0</v>
      </c>
      <c r="I11" s="22">
        <v>0.0</v>
      </c>
      <c r="J11" s="22">
        <v>18900.0</v>
      </c>
      <c r="K11" s="22">
        <v>0.0</v>
      </c>
      <c r="L11" s="22">
        <v>12200.0</v>
      </c>
      <c r="M11" s="22">
        <v>0.0</v>
      </c>
      <c r="N11" s="22">
        <v>18900.0</v>
      </c>
      <c r="O11" s="22">
        <v>0.0</v>
      </c>
      <c r="P11" s="22">
        <v>18900.0</v>
      </c>
      <c r="Q11" s="22">
        <v>0.0</v>
      </c>
      <c r="R11" s="22">
        <v>18900.0</v>
      </c>
      <c r="S11" s="22">
        <v>0.0</v>
      </c>
      <c r="T11" s="22">
        <v>0.0</v>
      </c>
      <c r="U11" s="22">
        <v>0.0</v>
      </c>
      <c r="V11" s="22">
        <v>19400.0</v>
      </c>
      <c r="W11" s="22">
        <v>0.0</v>
      </c>
      <c r="X11" s="22">
        <v>19400.0</v>
      </c>
      <c r="Y11" s="22">
        <v>0.0</v>
      </c>
      <c r="Z11" s="22">
        <v>19400.0</v>
      </c>
      <c r="AA11" s="22">
        <v>0.0</v>
      </c>
    </row>
    <row r="12" ht="15.0" customHeight="1">
      <c r="A12" s="21" t="s">
        <v>40</v>
      </c>
      <c r="B12" s="22">
        <f t="shared" si="3"/>
        <v>523375</v>
      </c>
      <c r="C12" s="22">
        <v>0.0</v>
      </c>
      <c r="D12" s="22">
        <v>0.0</v>
      </c>
      <c r="E12" s="22">
        <v>23700.0</v>
      </c>
      <c r="F12" s="22">
        <v>0.0</v>
      </c>
      <c r="G12" s="22">
        <v>53230.0</v>
      </c>
      <c r="H12" s="22">
        <v>0.0</v>
      </c>
      <c r="I12" s="22">
        <v>53230.0</v>
      </c>
      <c r="J12" s="22">
        <v>0.0</v>
      </c>
      <c r="K12" s="22">
        <v>44150.0</v>
      </c>
      <c r="L12" s="22">
        <v>0.0</v>
      </c>
      <c r="M12" s="22">
        <v>44635.0</v>
      </c>
      <c r="N12" s="22">
        <v>0.0</v>
      </c>
      <c r="O12" s="22">
        <v>46400.0</v>
      </c>
      <c r="P12" s="22">
        <v>0.0</v>
      </c>
      <c r="Q12" s="22">
        <v>52860.0</v>
      </c>
      <c r="R12" s="22">
        <v>0.0</v>
      </c>
      <c r="S12" s="22">
        <v>40350.0</v>
      </c>
      <c r="T12" s="22">
        <v>0.0</v>
      </c>
      <c r="U12" s="22">
        <v>32200.0</v>
      </c>
      <c r="V12" s="22">
        <v>0.0</v>
      </c>
      <c r="W12" s="22">
        <v>24280.0</v>
      </c>
      <c r="X12" s="22">
        <v>0.0</v>
      </c>
      <c r="Y12" s="22">
        <v>54190.0</v>
      </c>
      <c r="Z12" s="22">
        <v>0.0</v>
      </c>
      <c r="AA12" s="22">
        <v>54150.0</v>
      </c>
    </row>
    <row r="13" ht="15.0" customHeight="1">
      <c r="A13" s="21" t="s">
        <v>41</v>
      </c>
      <c r="B13" s="22">
        <f t="shared" si="3"/>
        <v>9242</v>
      </c>
      <c r="C13" s="22">
        <v>0.0</v>
      </c>
      <c r="D13" s="23">
        <v>737.0</v>
      </c>
      <c r="E13" s="22">
        <v>70.0</v>
      </c>
      <c r="F13" s="22">
        <v>620.0</v>
      </c>
      <c r="G13" s="22">
        <v>92.0</v>
      </c>
      <c r="H13" s="22">
        <v>0.0</v>
      </c>
      <c r="I13" s="22">
        <f>88</f>
        <v>88</v>
      </c>
      <c r="J13" s="22">
        <v>0.0</v>
      </c>
      <c r="K13" s="22">
        <f>324</f>
        <v>324</v>
      </c>
      <c r="L13" s="22">
        <v>0.0</v>
      </c>
      <c r="M13" s="22">
        <v>247.0</v>
      </c>
      <c r="N13" s="22">
        <v>0.0</v>
      </c>
      <c r="O13" s="22">
        <v>308.0</v>
      </c>
      <c r="P13" s="22">
        <v>0.0</v>
      </c>
      <c r="Q13" s="22">
        <v>195.0</v>
      </c>
      <c r="R13" s="22">
        <v>240.0</v>
      </c>
      <c r="S13" s="22">
        <f>235+750</f>
        <v>985</v>
      </c>
      <c r="T13" s="22">
        <v>85.0</v>
      </c>
      <c r="U13" s="22">
        <v>120.0</v>
      </c>
      <c r="V13" s="22">
        <v>0.0</v>
      </c>
      <c r="W13" s="22">
        <f>359+373+331</f>
        <v>1063</v>
      </c>
      <c r="X13" s="22">
        <f>90+68</f>
        <v>158</v>
      </c>
      <c r="Y13" s="22">
        <f>824+779</f>
        <v>1603</v>
      </c>
      <c r="Z13" s="22">
        <f>1081</f>
        <v>1081</v>
      </c>
      <c r="AA13" s="22">
        <f>300+125+334+467</f>
        <v>1226</v>
      </c>
    </row>
    <row r="14" ht="15.0" customHeight="1">
      <c r="A14" s="21" t="s">
        <v>42</v>
      </c>
      <c r="B14" s="22">
        <f t="shared" si="3"/>
        <v>92000</v>
      </c>
      <c r="C14" s="22">
        <v>0.0</v>
      </c>
      <c r="D14" s="23">
        <v>0.0</v>
      </c>
      <c r="E14" s="22">
        <f>7000+5000+70000</f>
        <v>82000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  <c r="L14" s="22">
        <v>0.0</v>
      </c>
      <c r="M14" s="22">
        <v>0.0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f>5000+5000</f>
        <v>10000</v>
      </c>
      <c r="Z14" s="22">
        <v>0.0</v>
      </c>
      <c r="AA14" s="23">
        <v>0.0</v>
      </c>
    </row>
    <row r="15" ht="15.0" customHeight="1">
      <c r="A15" s="21" t="s">
        <v>43</v>
      </c>
      <c r="B15" s="22">
        <f t="shared" si="3"/>
        <v>7149</v>
      </c>
      <c r="C15" s="22">
        <v>0.0</v>
      </c>
      <c r="D15" s="24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2">
        <v>0.0</v>
      </c>
      <c r="L15" s="22">
        <v>0.0</v>
      </c>
      <c r="M15" s="22">
        <v>0.0</v>
      </c>
      <c r="N15" s="22">
        <v>0.0</v>
      </c>
      <c r="O15" s="22">
        <v>5362.0</v>
      </c>
      <c r="P15" s="22">
        <v>0.0</v>
      </c>
      <c r="Q15" s="22">
        <v>0.0</v>
      </c>
      <c r="R15" s="22">
        <v>1787.0</v>
      </c>
      <c r="S15" s="22">
        <v>0.0</v>
      </c>
      <c r="T15" s="22">
        <v>0.0</v>
      </c>
      <c r="U15" s="22">
        <v>0.0</v>
      </c>
      <c r="V15" s="22">
        <v>0.0</v>
      </c>
      <c r="W15" s="22"/>
      <c r="X15" s="22">
        <v>0.0</v>
      </c>
      <c r="Y15" s="22">
        <v>0.0</v>
      </c>
      <c r="Z15" s="22">
        <v>0.0</v>
      </c>
      <c r="AA15" s="23">
        <v>0.0</v>
      </c>
    </row>
    <row r="16" ht="15.75" customHeight="1">
      <c r="A16" s="25" t="s">
        <v>44</v>
      </c>
      <c r="B16" s="26"/>
      <c r="C16" s="27"/>
      <c r="D16" s="26">
        <f t="shared" ref="D16:I16" si="4">SUM(D8:D15)</f>
        <v>73587</v>
      </c>
      <c r="E16" s="26">
        <f t="shared" si="4"/>
        <v>159770</v>
      </c>
      <c r="F16" s="26">
        <f t="shared" si="4"/>
        <v>45470</v>
      </c>
      <c r="G16" s="26">
        <f t="shared" si="4"/>
        <v>109772</v>
      </c>
      <c r="H16" s="26">
        <f t="shared" si="4"/>
        <v>39100</v>
      </c>
      <c r="I16" s="26">
        <f t="shared" si="4"/>
        <v>146368</v>
      </c>
      <c r="J16" s="26">
        <f>SUM(J8:J14)</f>
        <v>39100</v>
      </c>
      <c r="K16" s="26">
        <f t="shared" ref="K16:X16" si="5">SUM(K8:K15)</f>
        <v>109324</v>
      </c>
      <c r="L16" s="26">
        <f t="shared" si="5"/>
        <v>32400</v>
      </c>
      <c r="M16" s="26">
        <f t="shared" si="5"/>
        <v>109362</v>
      </c>
      <c r="N16" s="26">
        <f t="shared" si="5"/>
        <v>39100</v>
      </c>
      <c r="O16" s="26">
        <f t="shared" si="5"/>
        <v>116550</v>
      </c>
      <c r="P16" s="26">
        <f t="shared" si="5"/>
        <v>138340</v>
      </c>
      <c r="Q16" s="26">
        <f t="shared" si="5"/>
        <v>214237</v>
      </c>
      <c r="R16" s="26">
        <f t="shared" si="5"/>
        <v>36022</v>
      </c>
      <c r="S16" s="26">
        <f t="shared" si="5"/>
        <v>82635</v>
      </c>
      <c r="T16" s="26">
        <f t="shared" si="5"/>
        <v>7635</v>
      </c>
      <c r="U16" s="26">
        <f t="shared" si="5"/>
        <v>70020</v>
      </c>
      <c r="V16" s="26">
        <f t="shared" si="5"/>
        <v>60350</v>
      </c>
      <c r="W16" s="26">
        <f t="shared" si="5"/>
        <v>126763</v>
      </c>
      <c r="X16" s="26">
        <f t="shared" si="5"/>
        <v>40308</v>
      </c>
      <c r="Y16" s="26">
        <f>SUM(Y8:Y15)-Y15</f>
        <v>116783</v>
      </c>
      <c r="Z16" s="26">
        <f t="shared" ref="Z16:AA16" si="6">SUM(Z8:Z15)</f>
        <v>28781</v>
      </c>
      <c r="AA16" s="26">
        <f t="shared" si="6"/>
        <v>116064</v>
      </c>
    </row>
    <row r="17" ht="15.75" customHeight="1">
      <c r="A17" s="28"/>
      <c r="B17" s="29"/>
      <c r="C17" s="29"/>
      <c r="D17" s="30"/>
      <c r="E17" s="30"/>
      <c r="F17" s="30"/>
      <c r="G17" s="30"/>
      <c r="H17" s="30"/>
      <c r="I17" s="30"/>
      <c r="J17" s="31"/>
      <c r="K17" s="29"/>
      <c r="L17" s="31"/>
      <c r="M17" s="29"/>
      <c r="N17" s="31"/>
      <c r="O17" s="29"/>
      <c r="P17" s="31"/>
      <c r="Q17" s="32"/>
      <c r="R17" s="31"/>
      <c r="S17" s="29"/>
      <c r="T17" s="31"/>
      <c r="U17" s="29"/>
      <c r="V17" s="31"/>
      <c r="W17" s="32"/>
      <c r="X17" s="31"/>
      <c r="Y17" s="29"/>
      <c r="Z17" s="31"/>
      <c r="AA17" s="29"/>
    </row>
    <row r="18" ht="15.0" customHeight="1">
      <c r="A18" s="33" t="s">
        <v>45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0" customHeight="1">
      <c r="A19" s="35" t="s">
        <v>46</v>
      </c>
      <c r="B19" s="36">
        <f t="shared" ref="B19:B34" si="7">SUM(D19:AA19)</f>
        <v>350862</v>
      </c>
      <c r="C19" s="36">
        <v>12800.0</v>
      </c>
      <c r="D19" s="36">
        <v>7000.0</v>
      </c>
      <c r="E19" s="36">
        <f>23300+70000</f>
        <v>93300</v>
      </c>
      <c r="F19" s="36">
        <v>13600.0</v>
      </c>
      <c r="G19" s="36">
        <v>17800.0</v>
      </c>
      <c r="H19" s="36">
        <v>22200.0</v>
      </c>
      <c r="I19" s="36"/>
      <c r="J19" s="36">
        <v>0.0</v>
      </c>
      <c r="K19" s="36">
        <v>22400.0</v>
      </c>
      <c r="L19" s="36">
        <v>9700.0</v>
      </c>
      <c r="M19" s="36">
        <v>17600.0</v>
      </c>
      <c r="N19" s="36">
        <v>11700.0</v>
      </c>
      <c r="O19" s="36">
        <f>19000+5362</f>
        <v>24362</v>
      </c>
      <c r="P19" s="36">
        <v>18900.0</v>
      </c>
      <c r="Q19" s="36"/>
      <c r="R19" s="36"/>
      <c r="S19" s="36"/>
      <c r="T19" s="36">
        <v>2200.0</v>
      </c>
      <c r="U19" s="37">
        <v>0.0</v>
      </c>
      <c r="V19" s="37">
        <f>ROUNDDOWN((V$16-SUM(V$14:V$15))*30%,-2)-V20</f>
        <v>18100</v>
      </c>
      <c r="W19" s="36">
        <v>22600.0</v>
      </c>
      <c r="X19" s="36">
        <v>12000.0</v>
      </c>
      <c r="Y19" s="36">
        <v>16400.0</v>
      </c>
      <c r="Z19" s="36">
        <v>8300.0</v>
      </c>
      <c r="AA19" s="36">
        <v>12700.0</v>
      </c>
    </row>
    <row r="20" ht="15.0" customHeight="1">
      <c r="A20" s="35" t="s">
        <v>47</v>
      </c>
      <c r="B20" s="36">
        <f t="shared" si="7"/>
        <v>181000</v>
      </c>
      <c r="C20" s="36">
        <v>15100.0</v>
      </c>
      <c r="D20" s="36">
        <v>15000.0</v>
      </c>
      <c r="E20" s="36">
        <v>0.0</v>
      </c>
      <c r="F20" s="36"/>
      <c r="G20" s="36">
        <v>15100.0</v>
      </c>
      <c r="H20" s="36">
        <v>0.0</v>
      </c>
      <c r="I20" s="36">
        <v>15100.0</v>
      </c>
      <c r="J20" s="36">
        <v>0.0</v>
      </c>
      <c r="K20" s="36">
        <v>15100.0</v>
      </c>
      <c r="L20" s="36">
        <v>0.0</v>
      </c>
      <c r="M20" s="36">
        <v>15100.0</v>
      </c>
      <c r="N20" s="36">
        <v>0.0</v>
      </c>
      <c r="O20" s="36">
        <v>15000.0</v>
      </c>
      <c r="P20" s="36">
        <v>0.0</v>
      </c>
      <c r="Q20" s="36">
        <v>15100.0</v>
      </c>
      <c r="R20" s="36"/>
      <c r="S20" s="36">
        <v>15100.0</v>
      </c>
      <c r="T20" s="36">
        <v>0.0</v>
      </c>
      <c r="U20" s="36">
        <v>15100.0</v>
      </c>
      <c r="V20" s="36">
        <v>0.0</v>
      </c>
      <c r="W20" s="36">
        <v>15100.0</v>
      </c>
      <c r="X20" s="36">
        <v>0.0</v>
      </c>
      <c r="Y20" s="36">
        <v>15100.0</v>
      </c>
      <c r="Z20" s="36">
        <v>0.0</v>
      </c>
      <c r="AA20" s="36">
        <v>15100.0</v>
      </c>
    </row>
    <row r="21" ht="15.0" customHeight="1">
      <c r="A21" s="35" t="s">
        <v>48</v>
      </c>
      <c r="B21" s="36">
        <f t="shared" si="7"/>
        <v>13030</v>
      </c>
      <c r="C21" s="36">
        <v>0.0</v>
      </c>
      <c r="D21" s="36"/>
      <c r="E21" s="36"/>
      <c r="F21" s="36">
        <v>2200.0</v>
      </c>
      <c r="G21" s="36"/>
      <c r="H21" s="36">
        <v>1000.0</v>
      </c>
      <c r="I21" s="36">
        <v>0.0</v>
      </c>
      <c r="J21" s="36">
        <v>2000.0</v>
      </c>
      <c r="K21" s="36">
        <v>0.0</v>
      </c>
      <c r="L21" s="36"/>
      <c r="M21" s="36">
        <v>0.0</v>
      </c>
      <c r="N21" s="36">
        <v>0.0</v>
      </c>
      <c r="O21" s="36"/>
      <c r="P21" s="36">
        <v>0.0</v>
      </c>
      <c r="Q21" s="36"/>
      <c r="R21" s="36"/>
      <c r="S21" s="36"/>
      <c r="T21" s="36"/>
      <c r="U21" s="36">
        <v>1700.0</v>
      </c>
      <c r="V21" s="36">
        <v>2350.0</v>
      </c>
      <c r="W21" s="36">
        <v>0.0</v>
      </c>
      <c r="X21" s="36">
        <v>1800.0</v>
      </c>
      <c r="Y21" s="36">
        <v>0.0</v>
      </c>
      <c r="Z21" s="36">
        <v>1980.0</v>
      </c>
      <c r="AA21" s="36">
        <v>0.0</v>
      </c>
    </row>
    <row r="22" ht="15.0" customHeight="1">
      <c r="A22" s="38" t="s">
        <v>49</v>
      </c>
      <c r="B22" s="39">
        <f t="shared" si="7"/>
        <v>166600</v>
      </c>
      <c r="C22" s="39">
        <v>1600.0</v>
      </c>
      <c r="D22" s="39">
        <v>6600.0</v>
      </c>
      <c r="E22" s="39">
        <v>6900.0</v>
      </c>
      <c r="F22" s="39">
        <v>4000.0</v>
      </c>
      <c r="G22" s="39">
        <v>9800.0</v>
      </c>
      <c r="H22" s="39">
        <v>6600.0</v>
      </c>
      <c r="I22" s="39">
        <v>10600.0</v>
      </c>
      <c r="J22" s="39">
        <v>3500.0</v>
      </c>
      <c r="K22" s="39">
        <v>9800.0</v>
      </c>
      <c r="L22" s="39">
        <v>2900.0</v>
      </c>
      <c r="M22" s="39">
        <v>9800.0</v>
      </c>
      <c r="N22" s="39">
        <v>3500.0</v>
      </c>
      <c r="O22" s="39">
        <v>9900.0</v>
      </c>
      <c r="P22" s="39">
        <v>12400.0</v>
      </c>
      <c r="Q22" s="39">
        <v>19200.0</v>
      </c>
      <c r="R22" s="39">
        <f>ROUNDDOWN(R16*9%,-2)</f>
        <v>3200</v>
      </c>
      <c r="S22" s="39">
        <v>7300.0</v>
      </c>
      <c r="T22" s="39">
        <v>600.0</v>
      </c>
      <c r="U22" s="39">
        <f t="shared" ref="U22:V22" si="8">ROUNDDOWN(U16*9%,-2)</f>
        <v>6300</v>
      </c>
      <c r="V22" s="39">
        <f t="shared" si="8"/>
        <v>5400</v>
      </c>
      <c r="W22" s="39">
        <v>11300.0</v>
      </c>
      <c r="X22" s="39">
        <v>3600.0</v>
      </c>
      <c r="Y22" s="39">
        <v>9400.0</v>
      </c>
      <c r="Z22" s="39">
        <v>2400.0</v>
      </c>
      <c r="AA22" s="39">
        <v>1600.0</v>
      </c>
    </row>
    <row r="23" ht="15.0" customHeight="1">
      <c r="A23" s="38" t="s">
        <v>50</v>
      </c>
      <c r="B23" s="39">
        <f t="shared" si="7"/>
        <v>229570</v>
      </c>
      <c r="C23" s="39">
        <v>11700.0</v>
      </c>
      <c r="D23" s="39">
        <v>8000.0</v>
      </c>
      <c r="E23" s="39">
        <f>8500+5000</f>
        <v>13500</v>
      </c>
      <c r="F23" s="39">
        <v>5000.0</v>
      </c>
      <c r="G23" s="39">
        <v>12000.0</v>
      </c>
      <c r="H23" s="39">
        <v>8100.0</v>
      </c>
      <c r="I23" s="39">
        <v>16000.0</v>
      </c>
      <c r="J23" s="39">
        <v>4300.0</v>
      </c>
      <c r="K23" s="39">
        <v>11900.0</v>
      </c>
      <c r="L23" s="39">
        <v>3500.0</v>
      </c>
      <c r="M23" s="39">
        <v>12000.0</v>
      </c>
      <c r="N23" s="39">
        <f>ROUNDDOWN(N16*11%,-2)</f>
        <v>4300</v>
      </c>
      <c r="O23" s="39">
        <f>12100+5729+2941+10500</f>
        <v>31270</v>
      </c>
      <c r="P23" s="39">
        <v>0.0</v>
      </c>
      <c r="Q23" s="39">
        <v>23500.0</v>
      </c>
      <c r="R23" s="39">
        <f>ROUNDDOWN(R16*11%,-2)</f>
        <v>3900</v>
      </c>
      <c r="S23" s="39">
        <v>9900.0</v>
      </c>
      <c r="T23" s="39">
        <v>800.0</v>
      </c>
      <c r="U23" s="39">
        <v>7600.0</v>
      </c>
      <c r="V23" s="39">
        <v>6600.0</v>
      </c>
      <c r="W23" s="39">
        <v>13800.0</v>
      </c>
      <c r="X23" s="39">
        <v>4400.0</v>
      </c>
      <c r="Y23" s="39">
        <v>11500.0</v>
      </c>
      <c r="Z23" s="39">
        <v>6000.0</v>
      </c>
      <c r="AA23" s="39">
        <v>11700.0</v>
      </c>
    </row>
    <row r="24" ht="15.0" customHeight="1">
      <c r="A24" s="38" t="s">
        <v>51</v>
      </c>
      <c r="B24" s="39">
        <f t="shared" si="7"/>
        <v>124700</v>
      </c>
      <c r="C24" s="39">
        <v>6300.0</v>
      </c>
      <c r="D24" s="39">
        <v>4400.0</v>
      </c>
      <c r="E24" s="39">
        <f>4600+7000</f>
        <v>11600</v>
      </c>
      <c r="F24" s="39">
        <v>2700.0</v>
      </c>
      <c r="G24" s="39">
        <v>6500.0</v>
      </c>
      <c r="H24" s="39">
        <v>4400.0</v>
      </c>
      <c r="I24" s="39">
        <v>8700.0</v>
      </c>
      <c r="J24" s="39">
        <v>2300.0</v>
      </c>
      <c r="K24" s="39">
        <v>6500.0</v>
      </c>
      <c r="L24" s="39">
        <v>1900.0</v>
      </c>
      <c r="M24" s="39">
        <v>6500.0</v>
      </c>
      <c r="N24" s="39">
        <f>ROUNDDOWN(N16*6%,-2)</f>
        <v>2300</v>
      </c>
      <c r="O24" s="39">
        <v>6600.0</v>
      </c>
      <c r="P24" s="39">
        <v>8300.0</v>
      </c>
      <c r="Q24" s="39">
        <v>12800.0</v>
      </c>
      <c r="R24" s="39">
        <f>ROUNDDOWN(R16*6%,-2)</f>
        <v>2100</v>
      </c>
      <c r="S24" s="39">
        <v>4800.0</v>
      </c>
      <c r="T24" s="39">
        <v>400.0</v>
      </c>
      <c r="U24" s="39">
        <f t="shared" ref="U24:V24" si="9">ROUNDDOWN(U16*6%,-2)</f>
        <v>4200</v>
      </c>
      <c r="V24" s="39">
        <f t="shared" si="9"/>
        <v>3600</v>
      </c>
      <c r="W24" s="39">
        <v>7500.0</v>
      </c>
      <c r="X24" s="39">
        <v>2400.0</v>
      </c>
      <c r="Y24" s="39">
        <v>6300.0</v>
      </c>
      <c r="Z24" s="39">
        <v>1600.0</v>
      </c>
      <c r="AA24" s="39">
        <v>6300.0</v>
      </c>
    </row>
    <row r="25" ht="15.0" customHeight="1">
      <c r="A25" s="38" t="s">
        <v>52</v>
      </c>
      <c r="B25" s="39">
        <f t="shared" si="7"/>
        <v>19353</v>
      </c>
      <c r="C25" s="39">
        <v>1500.0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>
        <v>3000.0</v>
      </c>
      <c r="R25" s="39">
        <v>0.0</v>
      </c>
      <c r="S25" s="39">
        <v>3000.0</v>
      </c>
      <c r="T25" s="39">
        <v>4200.0</v>
      </c>
      <c r="U25" s="39">
        <v>0.0</v>
      </c>
      <c r="V25" s="39">
        <v>0.0</v>
      </c>
      <c r="W25" s="39">
        <v>2500.0</v>
      </c>
      <c r="X25" s="39">
        <v>0.0</v>
      </c>
      <c r="Y25" s="39">
        <f>1500+250+4078</f>
        <v>5828</v>
      </c>
      <c r="Z25" s="39">
        <v>0.0</v>
      </c>
      <c r="AA25" s="39">
        <v>825.0</v>
      </c>
    </row>
    <row r="26" ht="15.0" customHeight="1">
      <c r="A26" s="38" t="s">
        <v>53</v>
      </c>
      <c r="B26" s="39">
        <f t="shared" si="7"/>
        <v>6141</v>
      </c>
      <c r="C26" s="39">
        <v>1573.0</v>
      </c>
      <c r="D26" s="39"/>
      <c r="E26" s="39"/>
      <c r="F26" s="39"/>
      <c r="G26" s="39"/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/>
      <c r="P26" s="39">
        <v>0.0</v>
      </c>
      <c r="Q26" s="39"/>
      <c r="R26" s="39"/>
      <c r="S26" s="39"/>
      <c r="T26" s="39">
        <v>0.0</v>
      </c>
      <c r="U26" s="39">
        <v>1472.0</v>
      </c>
      <c r="V26" s="39">
        <v>0.0</v>
      </c>
      <c r="W26" s="39">
        <v>1573.0</v>
      </c>
      <c r="X26" s="39">
        <v>0.0</v>
      </c>
      <c r="Y26" s="39">
        <v>1523.0</v>
      </c>
      <c r="Z26" s="39">
        <v>0.0</v>
      </c>
      <c r="AA26" s="39">
        <v>1573.0</v>
      </c>
    </row>
    <row r="27" ht="15.0" customHeight="1">
      <c r="A27" s="38" t="s">
        <v>54</v>
      </c>
      <c r="B27" s="39">
        <f t="shared" si="7"/>
        <v>9200</v>
      </c>
      <c r="C27" s="39">
        <v>2300.0</v>
      </c>
      <c r="D27" s="39"/>
      <c r="E27" s="39"/>
      <c r="F27" s="39"/>
      <c r="G27" s="39"/>
      <c r="H27" s="39">
        <v>0.0</v>
      </c>
      <c r="I27" s="39">
        <v>0.0</v>
      </c>
      <c r="J27" s="39">
        <v>0.0</v>
      </c>
      <c r="K27" s="39">
        <v>0.0</v>
      </c>
      <c r="L27" s="39">
        <v>0.0</v>
      </c>
      <c r="M27" s="39">
        <v>0.0</v>
      </c>
      <c r="N27" s="39">
        <v>0.0</v>
      </c>
      <c r="O27" s="39"/>
      <c r="P27" s="39">
        <v>0.0</v>
      </c>
      <c r="Q27" s="39"/>
      <c r="R27" s="39"/>
      <c r="S27" s="39"/>
      <c r="T27" s="39">
        <v>0.0</v>
      </c>
      <c r="U27" s="39">
        <v>2300.0</v>
      </c>
      <c r="V27" s="39">
        <v>0.0</v>
      </c>
      <c r="W27" s="39">
        <v>2300.0</v>
      </c>
      <c r="X27" s="39">
        <v>0.0</v>
      </c>
      <c r="Y27" s="39">
        <v>2300.0</v>
      </c>
      <c r="Z27" s="39">
        <v>0.0</v>
      </c>
      <c r="AA27" s="39">
        <v>2300.0</v>
      </c>
    </row>
    <row r="28" ht="15.0" customHeight="1">
      <c r="A28" s="38" t="s">
        <v>55</v>
      </c>
      <c r="B28" s="39">
        <f t="shared" si="7"/>
        <v>43339</v>
      </c>
      <c r="C28" s="39">
        <v>4330.0</v>
      </c>
      <c r="D28" s="39"/>
      <c r="E28" s="39">
        <f>1100+1550</f>
        <v>2650</v>
      </c>
      <c r="F28" s="39">
        <v>0.0</v>
      </c>
      <c r="G28" s="39">
        <v>4800.0</v>
      </c>
      <c r="H28" s="39">
        <v>0.0</v>
      </c>
      <c r="I28" s="39">
        <f>1170+2720</f>
        <v>3890</v>
      </c>
      <c r="J28" s="39">
        <v>0.0</v>
      </c>
      <c r="K28" s="39">
        <f>2010+3560</f>
        <v>5570</v>
      </c>
      <c r="L28" s="39">
        <v>0.0</v>
      </c>
      <c r="M28" s="39">
        <v>3975.0</v>
      </c>
      <c r="N28" s="39">
        <v>1500.0</v>
      </c>
      <c r="O28" s="39">
        <f>3230+1670</f>
        <v>4900</v>
      </c>
      <c r="P28" s="39">
        <v>0.0</v>
      </c>
      <c r="Q28" s="39">
        <v>0.0</v>
      </c>
      <c r="R28" s="39">
        <f>3910+640</f>
        <v>4550</v>
      </c>
      <c r="S28" s="39">
        <v>0.0</v>
      </c>
      <c r="T28" s="39">
        <v>0.0</v>
      </c>
      <c r="U28" s="39">
        <f>1190</f>
        <v>1190</v>
      </c>
      <c r="V28" s="39">
        <v>0.0</v>
      </c>
      <c r="W28" s="39">
        <f>204+2890</f>
        <v>3094</v>
      </c>
      <c r="X28" s="39">
        <v>0.0</v>
      </c>
      <c r="Y28" s="39">
        <v>2890.0</v>
      </c>
      <c r="Z28" s="39">
        <v>0.0</v>
      </c>
      <c r="AA28" s="39">
        <f>372+525+204+3229</f>
        <v>4330</v>
      </c>
    </row>
    <row r="29" ht="15.0" customHeight="1">
      <c r="A29" s="38" t="s">
        <v>56</v>
      </c>
      <c r="B29" s="39">
        <f t="shared" si="7"/>
        <v>39076</v>
      </c>
      <c r="C29" s="39">
        <v>1255.0</v>
      </c>
      <c r="D29" s="39"/>
      <c r="E29" s="39">
        <f>1710+260</f>
        <v>1970</v>
      </c>
      <c r="F29" s="39">
        <v>1000.0</v>
      </c>
      <c r="G29" s="39">
        <f>2590+300</f>
        <v>2890</v>
      </c>
      <c r="H29" s="39">
        <v>2550.0</v>
      </c>
      <c r="I29" s="39">
        <f>1595</f>
        <v>1595</v>
      </c>
      <c r="J29" s="39">
        <v>4150.0</v>
      </c>
      <c r="K29" s="39">
        <f>1600+200</f>
        <v>1800</v>
      </c>
      <c r="L29" s="39">
        <v>2375.0</v>
      </c>
      <c r="M29" s="39">
        <f>1260+500</f>
        <v>1760</v>
      </c>
      <c r="N29" s="39">
        <v>3500.0</v>
      </c>
      <c r="O29" s="39">
        <v>940.0</v>
      </c>
      <c r="P29" s="39">
        <v>0.0</v>
      </c>
      <c r="Q29" s="39">
        <f>1235+125</f>
        <v>1360</v>
      </c>
      <c r="R29" s="39">
        <v>350.0</v>
      </c>
      <c r="S29" s="39"/>
      <c r="T29" s="39">
        <v>1520.0</v>
      </c>
      <c r="U29" s="39"/>
      <c r="V29" s="39">
        <v>300.0</v>
      </c>
      <c r="W29" s="39">
        <f>1095+500</f>
        <v>1595</v>
      </c>
      <c r="X29" s="39">
        <v>1700.0</v>
      </c>
      <c r="Y29" s="39">
        <f>1870+3351</f>
        <v>5221</v>
      </c>
      <c r="Z29" s="39">
        <v>2500.0</v>
      </c>
      <c r="AA29" s="39">
        <v>0.0</v>
      </c>
    </row>
    <row r="30" ht="15.0" customHeight="1">
      <c r="A30" s="40" t="s">
        <v>57</v>
      </c>
      <c r="B30" s="39">
        <f t="shared" si="7"/>
        <v>17979</v>
      </c>
      <c r="C30" s="39">
        <v>1600.0</v>
      </c>
      <c r="D30" s="39"/>
      <c r="E30" s="39">
        <v>1000.0</v>
      </c>
      <c r="F30" s="39">
        <v>0.0</v>
      </c>
      <c r="G30" s="39">
        <v>1200.0</v>
      </c>
      <c r="H30" s="39"/>
      <c r="I30" s="39">
        <f>1600+200</f>
        <v>1800</v>
      </c>
      <c r="J30" s="39">
        <v>200.0</v>
      </c>
      <c r="K30" s="39">
        <v>1600.0</v>
      </c>
      <c r="L30" s="39">
        <v>0.0</v>
      </c>
      <c r="M30" s="39">
        <v>1600.0</v>
      </c>
      <c r="N30" s="39">
        <v>200.0</v>
      </c>
      <c r="O30" s="39">
        <v>200.0</v>
      </c>
      <c r="P30" s="39">
        <v>200.0</v>
      </c>
      <c r="Q30" s="39">
        <v>1600.0</v>
      </c>
      <c r="R30" s="39"/>
      <c r="S30" s="39">
        <v>1800.0</v>
      </c>
      <c r="T30" s="39">
        <v>0.0</v>
      </c>
      <c r="U30" s="39">
        <v>1600.0</v>
      </c>
      <c r="V30" s="39">
        <v>0.0</v>
      </c>
      <c r="W30" s="39">
        <f>79</f>
        <v>79</v>
      </c>
      <c r="X30" s="39">
        <v>0.0</v>
      </c>
      <c r="Y30" s="39">
        <v>1600.0</v>
      </c>
      <c r="Z30" s="39">
        <f>1100+600</f>
        <v>1700</v>
      </c>
      <c r="AA30" s="39">
        <v>1600.0</v>
      </c>
    </row>
    <row r="31" ht="15.0" customHeight="1">
      <c r="A31" s="38" t="s">
        <v>58</v>
      </c>
      <c r="B31" s="39">
        <f t="shared" si="7"/>
        <v>1850</v>
      </c>
      <c r="C31" s="39">
        <v>0.0</v>
      </c>
      <c r="D31" s="39"/>
      <c r="E31" s="39">
        <v>1850.0</v>
      </c>
      <c r="F31" s="39"/>
      <c r="G31" s="39"/>
      <c r="H31" s="39">
        <v>0.0</v>
      </c>
      <c r="I31" s="39">
        <v>0.0</v>
      </c>
      <c r="J31" s="39">
        <v>3000.0</v>
      </c>
      <c r="K31" s="39">
        <v>0.0</v>
      </c>
      <c r="L31" s="39">
        <v>0.0</v>
      </c>
      <c r="M31" s="39">
        <v>0.0</v>
      </c>
      <c r="N31" s="39">
        <v>0.0</v>
      </c>
      <c r="O31" s="39">
        <v>-3000.0</v>
      </c>
      <c r="P31" s="39">
        <v>0.0</v>
      </c>
      <c r="Q31" s="39"/>
      <c r="R31" s="39"/>
      <c r="S31" s="39"/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</row>
    <row r="32" ht="15.0" customHeight="1">
      <c r="A32" s="41" t="s">
        <v>59</v>
      </c>
      <c r="B32" s="39">
        <f t="shared" si="7"/>
        <v>25100</v>
      </c>
      <c r="C32" s="39">
        <v>0.0</v>
      </c>
      <c r="D32" s="39"/>
      <c r="E32" s="39">
        <v>5400.0</v>
      </c>
      <c r="F32" s="39"/>
      <c r="G32" s="39"/>
      <c r="H32" s="39">
        <v>2700.0</v>
      </c>
      <c r="I32" s="39">
        <v>0.0</v>
      </c>
      <c r="J32" s="39">
        <v>2700.0</v>
      </c>
      <c r="K32" s="39">
        <v>0.0</v>
      </c>
      <c r="L32" s="39">
        <v>2700.0</v>
      </c>
      <c r="M32" s="39">
        <v>0.0</v>
      </c>
      <c r="N32" s="39">
        <v>0.0</v>
      </c>
      <c r="O32" s="39"/>
      <c r="P32" s="39">
        <v>0.0</v>
      </c>
      <c r="Q32" s="39"/>
      <c r="R32" s="39"/>
      <c r="S32" s="39"/>
      <c r="T32" s="39">
        <v>2900.0</v>
      </c>
      <c r="U32" s="39"/>
      <c r="V32" s="39">
        <v>2900.0</v>
      </c>
      <c r="W32" s="39">
        <v>0.0</v>
      </c>
      <c r="X32" s="39">
        <v>2900.0</v>
      </c>
      <c r="Y32" s="39">
        <v>0.0</v>
      </c>
      <c r="Z32" s="39">
        <v>2900.0</v>
      </c>
      <c r="AA32" s="39">
        <v>0.0</v>
      </c>
    </row>
    <row r="33" ht="15.0" customHeight="1">
      <c r="A33" s="42" t="s">
        <v>60</v>
      </c>
      <c r="B33" s="39">
        <f t="shared" si="7"/>
        <v>32238</v>
      </c>
      <c r="C33" s="39">
        <v>0.0</v>
      </c>
      <c r="D33" s="39">
        <v>5796.0</v>
      </c>
      <c r="E33" s="39">
        <v>2800.0</v>
      </c>
      <c r="F33" s="39"/>
      <c r="G33" s="39"/>
      <c r="H33" s="39">
        <v>0.0</v>
      </c>
      <c r="I33" s="39">
        <v>0.0</v>
      </c>
      <c r="J33" s="39">
        <v>2130.0</v>
      </c>
      <c r="K33" s="39">
        <v>0.0</v>
      </c>
      <c r="L33" s="39">
        <v>0.0</v>
      </c>
      <c r="M33" s="39">
        <v>17997.0</v>
      </c>
      <c r="N33" s="39">
        <v>0.0</v>
      </c>
      <c r="O33" s="39"/>
      <c r="P33" s="39">
        <v>0.0</v>
      </c>
      <c r="Q33" s="39"/>
      <c r="R33" s="39"/>
      <c r="S33" s="39"/>
      <c r="T33" s="39">
        <v>0.0</v>
      </c>
      <c r="U33" s="39"/>
      <c r="V33" s="39">
        <v>0.0</v>
      </c>
      <c r="W33" s="39">
        <v>0.0</v>
      </c>
      <c r="X33" s="39">
        <v>0.0</v>
      </c>
      <c r="Y33" s="39">
        <v>0.0</v>
      </c>
      <c r="Z33" s="39">
        <v>3515.0</v>
      </c>
      <c r="AA33" s="39">
        <v>0.0</v>
      </c>
    </row>
    <row r="34" ht="15.0" customHeight="1">
      <c r="A34" s="38" t="s">
        <v>61</v>
      </c>
      <c r="B34" s="39">
        <f t="shared" si="7"/>
        <v>357227</v>
      </c>
      <c r="C34" s="39">
        <v>19000.0</v>
      </c>
      <c r="D34" s="39">
        <f>204+440+255-65-65-65-290+25+5493+345+160+541+212+320+2244+929+218+212+395+846+415+193+267+320+1923</f>
        <v>15472</v>
      </c>
      <c r="E34" s="39">
        <f>402+734+302+343+415+482+1080+241-180-180-180-180+364+90+427+1718+170+5303+845+320+408+445+401+563+412+236+155+80+1373+447+223+500+185+546</f>
        <v>18490</v>
      </c>
      <c r="F34" s="39">
        <f>420+447+325+396+189+395+29+414+320+1210+4598+315+964+600+417+362+320+327+465+477+913+2794+320+452+472+372+105+909</f>
        <v>19327</v>
      </c>
      <c r="G34" s="39">
        <f>497+100+246+422+491+1011+320+187+325+834+477+163+356+410+250+666+457+608+430+227+172+6168+190+487+461+152+2628</f>
        <v>18735</v>
      </c>
      <c r="H34" s="39">
        <f>62+480+462+292+520+507+160+287+320+460+643+433+228+296+729-440-440+3215+265+232-440</f>
        <v>8271</v>
      </c>
      <c r="I34" s="39">
        <f>457+166+320+440+193+613+124+812+5595+457+420+920+467+487+458+295+256+320+846+749+27+237+267+330+177</f>
        <v>15433</v>
      </c>
      <c r="J34" s="39">
        <f>235+213+434+2205+57+232+556+149+2960+185+392+247+250+227+93+320+167+3327+203+354+482+200+442+320+34+462+148+428+140</f>
        <v>15462</v>
      </c>
      <c r="K34" s="39">
        <f>167+277+659+100+185+346+270+155+282+452+495+447+63+320+1822+129+558+477+383+482+407+422+422+447+760+125+216</f>
        <v>10868</v>
      </c>
      <c r="L34" s="39">
        <f>477+934+81+320+320+120+2361+472+203+412+290+160+1496+189+2195+6854+697-479-479-439+502+60+480</f>
        <v>17226</v>
      </c>
      <c r="M34" s="39">
        <f>352+241+482+452+469+1040+459+454+144+332+320+471+487+18+190+30+257+143+85+236+636+422+492+201+30</f>
        <v>8443</v>
      </c>
      <c r="N34" s="39">
        <f>392+507+39+500+222+621+60+320+6341+885+257+452+1377+497+35+70+442+18+84+4190+171+467+65+320+1565+400</f>
        <v>20297</v>
      </c>
      <c r="O34" s="39">
        <f>22+537+3102+456+60+66+235+412+395+520-410+462+417+432+96+220+401+437+209+427+320+3208+103+422+212</f>
        <v>12761</v>
      </c>
      <c r="P34" s="39">
        <f>72+148+1159+270+512+157+603+387+938+447+517+320+322+28+496+660+354+405+277+674+472+48+449+205+214+259+1375</f>
        <v>11768</v>
      </c>
      <c r="Q34" s="39">
        <f>30+76+774+47+830+248+235+181+383+13+210+3449+210+263+30+712+641+409+1080+413+125</f>
        <v>10359</v>
      </c>
      <c r="R34" s="39">
        <f>1020+239+239+480+1741+2624+264+620+290+262+406</f>
        <v>8185</v>
      </c>
      <c r="S34" s="39">
        <f>245+113+269+267+1420+575+250+334+150+339+850+262+464+257+320+417+813+272+282+224+461+137+349+104+556+1118+359+61+492+140+473+308+160+160+1589</f>
        <v>14590</v>
      </c>
      <c r="T34" s="39">
        <f>472+493+462+79+334+880+397+356+2865+655+30+235+370+320+395+40+485+6639-550-550-550+487+60+598+1320+1281+455+848+427+641</f>
        <v>19974</v>
      </c>
      <c r="U34" s="39">
        <f>168+32+86+877+40+62+480+3881+255+61+107+160+216+15+488+1456+235+149+245+70+43+855+180+3726+25+190+75+75+217+320+510+452+193+280+140+437+339</f>
        <v>17140</v>
      </c>
      <c r="V34" s="39">
        <f>477+40+1752+180+437+320+385+150+157+165+347+507+232+170+718+270+155+186+222+78+610+50+1059+457+68+422+122+507+497+236+17+723</f>
        <v>11716</v>
      </c>
      <c r="W34" s="39">
        <f>472+131+4266+378+320+430+35+115+90+487+465+39+26+927+425+18+27+282+427+80+107+3164+195+35+17+320+439+343+110+516+282+83+392+85+1879+195+6238+185+716</f>
        <v>24741</v>
      </c>
      <c r="X34" s="39">
        <f>230+320+912+53+30+1129+468+150+24+976+180+320+1746+26+199+26+568+700+145+500+286+100+422+200+99+273</f>
        <v>10082</v>
      </c>
      <c r="Y34" s="39">
        <f>90+320+1126+729+760+1000+272+407+517+1703+460+29+154+90+265+320+688+265+2364+35+140+472+110-4*150+450+159+456+452+494+510</f>
        <v>14237</v>
      </c>
      <c r="Z34" s="39">
        <f>(59+510+169+472+244+160+880+412+43+199+62+467+320+242+3134-799+290+100+422+472+3743+342+567+256+395+457+519)+(364+213+158+162+159)</f>
        <v>15193</v>
      </c>
      <c r="AA34" s="39">
        <f>(499+320+84+349+487+59+143+917+475+386+1493+2786-560-560+432+457+114+345+954+320+6294+166+462+265+377+497+308)+(262+196+130)</f>
        <v>18457</v>
      </c>
    </row>
    <row r="35" ht="15.0" customHeight="1">
      <c r="A35" s="43" t="s">
        <v>62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0" customHeight="1">
      <c r="A36" s="45" t="s">
        <v>63</v>
      </c>
      <c r="B36" s="44">
        <f t="shared" ref="B36:B38" si="10">SUM(D36:AA36)</f>
        <v>23781</v>
      </c>
      <c r="C36" s="44">
        <v>1500.0</v>
      </c>
      <c r="D36" s="44">
        <f>1410</f>
        <v>1410</v>
      </c>
      <c r="E36" s="44"/>
      <c r="F36" s="44">
        <f>940</f>
        <v>940</v>
      </c>
      <c r="G36" s="44">
        <v>1058.0</v>
      </c>
      <c r="H36" s="44"/>
      <c r="I36" s="44"/>
      <c r="J36" s="44">
        <v>1528.0</v>
      </c>
      <c r="K36" s="44"/>
      <c r="L36" s="44">
        <f>1528</f>
        <v>1528</v>
      </c>
      <c r="M36" s="44">
        <f>1645</f>
        <v>1645</v>
      </c>
      <c r="N36" s="44">
        <v>1470.0</v>
      </c>
      <c r="O36" s="44"/>
      <c r="P36" s="44">
        <v>1361.0</v>
      </c>
      <c r="Q36" s="44">
        <f>221</f>
        <v>221</v>
      </c>
      <c r="R36" s="44"/>
      <c r="S36" s="44"/>
      <c r="T36" s="44">
        <f>1227+28+28+1199+505</f>
        <v>2987</v>
      </c>
      <c r="U36" s="44">
        <v>1645.0</v>
      </c>
      <c r="V36" s="44">
        <v>1297.0</v>
      </c>
      <c r="W36" s="44"/>
      <c r="X36" s="44">
        <f>1379+1175</f>
        <v>2554</v>
      </c>
      <c r="Y36" s="44">
        <v>1126.0</v>
      </c>
      <c r="Z36" s="44">
        <f>1248</f>
        <v>1248</v>
      </c>
      <c r="AA36" s="44">
        <v>1763.0</v>
      </c>
    </row>
    <row r="37" ht="15.0" customHeight="1">
      <c r="A37" s="45" t="s">
        <v>64</v>
      </c>
      <c r="B37" s="44">
        <f t="shared" si="10"/>
        <v>22788</v>
      </c>
      <c r="C37" s="44"/>
      <c r="D37" s="44"/>
      <c r="E37" s="44">
        <f>625</f>
        <v>625</v>
      </c>
      <c r="F37" s="44">
        <v>5000.0</v>
      </c>
      <c r="G37" s="44">
        <f>1040+2000</f>
        <v>3040</v>
      </c>
      <c r="H37" s="44">
        <v>0.0</v>
      </c>
      <c r="I37" s="44"/>
      <c r="J37" s="44">
        <f>1200+570+178+160</f>
        <v>2108</v>
      </c>
      <c r="K37" s="44">
        <f>3700+900+195</f>
        <v>4795</v>
      </c>
      <c r="L37" s="44">
        <v>0.0</v>
      </c>
      <c r="M37" s="44"/>
      <c r="N37" s="44">
        <f>350</f>
        <v>350</v>
      </c>
      <c r="O37" s="44"/>
      <c r="P37" s="44"/>
      <c r="Q37" s="44"/>
      <c r="R37" s="44">
        <v>800.0</v>
      </c>
      <c r="S37" s="44">
        <v>550.0</v>
      </c>
      <c r="T37" s="44"/>
      <c r="U37" s="44"/>
      <c r="V37" s="44">
        <f>800+260</f>
        <v>1060</v>
      </c>
      <c r="W37" s="44"/>
      <c r="X37" s="44">
        <v>260.0</v>
      </c>
      <c r="Y37" s="44">
        <v>1000.0</v>
      </c>
      <c r="Z37" s="44">
        <f>1700+1500</f>
        <v>3200</v>
      </c>
      <c r="AA37" s="44"/>
    </row>
    <row r="38" ht="15.0" customHeight="1">
      <c r="A38" s="46" t="s">
        <v>65</v>
      </c>
      <c r="B38" s="44">
        <f t="shared" si="10"/>
        <v>15068</v>
      </c>
      <c r="C38" s="44"/>
      <c r="D38" s="44"/>
      <c r="E38" s="44"/>
      <c r="F38" s="44"/>
      <c r="G38" s="44"/>
      <c r="H38" s="44">
        <v>6987.0</v>
      </c>
      <c r="I38" s="44"/>
      <c r="J38" s="44"/>
      <c r="K38" s="44"/>
      <c r="L38" s="44">
        <v>0.0</v>
      </c>
      <c r="M38" s="44"/>
      <c r="N38" s="44">
        <f>500+400</f>
        <v>900</v>
      </c>
      <c r="O38" s="44"/>
      <c r="P38" s="44">
        <v>0.0</v>
      </c>
      <c r="Q38" s="44"/>
      <c r="R38" s="44"/>
      <c r="S38" s="44"/>
      <c r="T38" s="44"/>
      <c r="U38" s="44"/>
      <c r="V38" s="44"/>
      <c r="W38" s="44">
        <v>530.0</v>
      </c>
      <c r="X38" s="44"/>
      <c r="Y38" s="44">
        <v>4485.0</v>
      </c>
      <c r="Z38" s="44">
        <v>2166.0</v>
      </c>
      <c r="AA38" s="44"/>
    </row>
    <row r="39" ht="15.0" customHeight="1">
      <c r="A39" s="47" t="s">
        <v>66</v>
      </c>
      <c r="B39" s="34"/>
      <c r="C39" s="34"/>
      <c r="D39" s="34"/>
      <c r="E39" s="34"/>
      <c r="F39" s="34"/>
      <c r="G39" s="36"/>
      <c r="H39" s="36"/>
      <c r="I39" s="36"/>
      <c r="J39" s="34"/>
      <c r="K39" s="36"/>
      <c r="L39" s="36"/>
      <c r="M39" s="36"/>
      <c r="N39" s="34"/>
      <c r="O39" s="36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0" customHeight="1">
      <c r="A40" s="35" t="s">
        <v>67</v>
      </c>
      <c r="B40" s="36">
        <f t="shared" ref="B40:B41" si="11">SUM(D40:AA40)</f>
        <v>15868</v>
      </c>
      <c r="C40" s="36">
        <v>0.0</v>
      </c>
      <c r="D40" s="36"/>
      <c r="E40" s="36"/>
      <c r="F40" s="36"/>
      <c r="G40" s="36"/>
      <c r="H40" s="36">
        <v>3800.0</v>
      </c>
      <c r="I40" s="36">
        <v>5400.0</v>
      </c>
      <c r="J40" s="36">
        <v>0.0</v>
      </c>
      <c r="K40" s="36">
        <v>0.0</v>
      </c>
      <c r="L40" s="36">
        <v>0.0</v>
      </c>
      <c r="M40" s="36"/>
      <c r="N40" s="36"/>
      <c r="O40" s="36"/>
      <c r="P40" s="36">
        <v>0.0</v>
      </c>
      <c r="Q40" s="36"/>
      <c r="R40" s="36"/>
      <c r="S40" s="36"/>
      <c r="T40" s="36">
        <v>0.0</v>
      </c>
      <c r="U40" s="36"/>
      <c r="V40" s="36"/>
      <c r="W40" s="36"/>
      <c r="X40" s="36">
        <v>3072.0</v>
      </c>
      <c r="Y40" s="36">
        <v>1418.0</v>
      </c>
      <c r="Z40" s="36"/>
      <c r="AA40" s="36">
        <v>2178.0</v>
      </c>
    </row>
    <row r="41" ht="15.0" customHeight="1">
      <c r="A41" s="35" t="s">
        <v>68</v>
      </c>
      <c r="B41" s="36">
        <f t="shared" si="11"/>
        <v>166609</v>
      </c>
      <c r="C41" s="36"/>
      <c r="D41" s="36">
        <f>1205+188</f>
        <v>1393</v>
      </c>
      <c r="E41" s="36"/>
      <c r="F41" s="36"/>
      <c r="G41" s="36">
        <f>306</f>
        <v>306</v>
      </c>
      <c r="H41" s="36">
        <v>2500.0</v>
      </c>
      <c r="I41" s="36">
        <v>0.0</v>
      </c>
      <c r="J41" s="36">
        <f>23868+1139</f>
        <v>25007</v>
      </c>
      <c r="K41" s="36">
        <f>785+1800+25+11797+840+262</f>
        <v>15509</v>
      </c>
      <c r="L41" s="36">
        <f>672+16809+5275</f>
        <v>22756</v>
      </c>
      <c r="M41" s="36">
        <f>340+1956</f>
        <v>2296</v>
      </c>
      <c r="N41" s="36">
        <f>1550+1213+420+40+1129+150</f>
        <v>4502</v>
      </c>
      <c r="O41" s="36">
        <f>220+3737+330</f>
        <v>4287</v>
      </c>
      <c r="P41" s="36">
        <f>102+116+191+275+2545+1107+350+16700+934+112+219+218+372</f>
        <v>23241</v>
      </c>
      <c r="Q41" s="36">
        <f>(1240+259+1190+1033+835+187+460+255+197)+19364+(379-379+327+94+136)-10000+(1403+451)</f>
        <v>17431</v>
      </c>
      <c r="R41" s="36"/>
      <c r="S41" s="36">
        <f>170+338+1500+1921+2282</f>
        <v>6211</v>
      </c>
      <c r="T41" s="36">
        <f>2820+1240+664+306+2840+4425+15000-3000+192+10000+527+100</f>
        <v>35114</v>
      </c>
      <c r="U41" s="36">
        <f>-2000+453</f>
        <v>-1547</v>
      </c>
      <c r="V41" s="36">
        <f>313</f>
        <v>313</v>
      </c>
      <c r="W41" s="36"/>
      <c r="X41" s="36">
        <f>220+795+70+120+170</f>
        <v>1375</v>
      </c>
      <c r="Y41" s="36">
        <f>2722+2169+100</f>
        <v>4991</v>
      </c>
      <c r="Z41" s="36">
        <f>500+100</f>
        <v>600</v>
      </c>
      <c r="AA41" s="36">
        <f>262+62</f>
        <v>324</v>
      </c>
    </row>
    <row r="42" ht="15.0" customHeight="1">
      <c r="A42" s="43" t="s">
        <v>69</v>
      </c>
      <c r="B42" s="44"/>
      <c r="C42" s="44"/>
      <c r="D42" s="44"/>
      <c r="E42" s="44"/>
      <c r="F42" s="44"/>
      <c r="G42" s="44"/>
      <c r="H42" s="48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5.0" customHeight="1">
      <c r="A43" s="46" t="s">
        <v>70</v>
      </c>
      <c r="B43" s="44">
        <f t="shared" ref="B43:B46" si="12">SUM(D43:AA43)</f>
        <v>141613</v>
      </c>
      <c r="C43" s="44"/>
      <c r="D43" s="44">
        <f>280+1350+2181+1180+1504</f>
        <v>6495</v>
      </c>
      <c r="E43" s="44">
        <f>2500+3437+30+1000</f>
        <v>6967</v>
      </c>
      <c r="F43" s="44"/>
      <c r="G43" s="44">
        <f>2860+2100</f>
        <v>4960</v>
      </c>
      <c r="H43" s="44">
        <f>490+2203+1468</f>
        <v>4161</v>
      </c>
      <c r="I43" s="44">
        <f>6056+1170+7100</f>
        <v>14326</v>
      </c>
      <c r="J43" s="44">
        <f>1803+798+1597</f>
        <v>4198</v>
      </c>
      <c r="K43" s="44">
        <f>639+1866+900+710+14195+1405+0</f>
        <v>19715</v>
      </c>
      <c r="L43" s="49">
        <f>1000</f>
        <v>1000</v>
      </c>
      <c r="M43" s="50">
        <f>859</f>
        <v>859</v>
      </c>
      <c r="N43" s="50">
        <f>6000+2200+161+430+4331+4015+1671</f>
        <v>18808</v>
      </c>
      <c r="O43" s="44">
        <f>2829+224+560</f>
        <v>3613</v>
      </c>
      <c r="P43" s="44">
        <f>2728+928+675</f>
        <v>4331</v>
      </c>
      <c r="Q43" s="44">
        <f>3131+7012+822+315</f>
        <v>11280</v>
      </c>
      <c r="R43" s="44"/>
      <c r="S43" s="44">
        <f>10955+500</f>
        <v>11455</v>
      </c>
      <c r="T43" s="44">
        <f>249+263+378</f>
        <v>890</v>
      </c>
      <c r="U43" s="49">
        <f>828</f>
        <v>828</v>
      </c>
      <c r="V43" s="50">
        <f>5093+3726+723-1977+280+1624+810</f>
        <v>10279</v>
      </c>
      <c r="W43" s="50">
        <f>600+835+360</f>
        <v>1795</v>
      </c>
      <c r="X43" s="49"/>
      <c r="Y43" s="49">
        <f>6500+900+1750+1998+280+714</f>
        <v>12142</v>
      </c>
      <c r="Z43" s="44"/>
      <c r="AA43" s="44">
        <f>3196+315</f>
        <v>3511</v>
      </c>
    </row>
    <row r="44" ht="15.0" customHeight="1">
      <c r="A44" s="45" t="s">
        <v>71</v>
      </c>
      <c r="B44" s="44">
        <f t="shared" si="12"/>
        <v>151582</v>
      </c>
      <c r="C44" s="44">
        <v>13140.0</v>
      </c>
      <c r="D44" s="44">
        <f>400+454+295+199</f>
        <v>1348</v>
      </c>
      <c r="E44" s="44">
        <f>729+1000+420</f>
        <v>2149</v>
      </c>
      <c r="F44" s="44">
        <f>251+58</f>
        <v>309</v>
      </c>
      <c r="G44" s="44">
        <f>500+100+5000+500</f>
        <v>6100</v>
      </c>
      <c r="H44" s="44">
        <f>500+650+300+100+170+140+1500+1200+360+2135+200</f>
        <v>7255</v>
      </c>
      <c r="I44" s="44">
        <f>882+874+80+2160+82+240</f>
        <v>4318</v>
      </c>
      <c r="J44" s="44">
        <f>168+420+318+240+26+455+121+100+290</f>
        <v>2138</v>
      </c>
      <c r="K44" s="44">
        <f>1100+457</f>
        <v>1557</v>
      </c>
      <c r="L44" s="44">
        <f>1987+2*140</f>
        <v>2267</v>
      </c>
      <c r="M44" s="44">
        <f>817+3070-2100+410+190+872+5017+800+600+191+20+700+370</f>
        <v>10957</v>
      </c>
      <c r="N44" s="44">
        <f>5000+1322+1200+840+210+175+270+546+94+170+1660</f>
        <v>11487</v>
      </c>
      <c r="O44" s="44">
        <f>-4000+1000+580+680+160+799+17270+994+1162+447+673+1290+983+1007+570</f>
        <v>23615</v>
      </c>
      <c r="P44" s="44">
        <f>810+340+270+370+1923+468+1263</f>
        <v>5444</v>
      </c>
      <c r="Q44" s="44">
        <f>390+105-1500+1499+447+630+390+3000+390+50+2660-1330+390+70</f>
        <v>7191</v>
      </c>
      <c r="R44" s="44"/>
      <c r="S44" s="44">
        <f>450+200+600+130+550+70+80+137+49+3000+370+450+250+600+730+190+17150-17000+300</f>
        <v>8306</v>
      </c>
      <c r="T44" s="44">
        <f>441+3000+1076+903+222-1000+5524-1686-4000+1150+200</f>
        <v>5830</v>
      </c>
      <c r="U44" s="44">
        <f>-1000+(-5000+1100+898+513+729+1150+1617)-1007+789+514</f>
        <v>303</v>
      </c>
      <c r="V44" s="44">
        <f>1085+560+630+879</f>
        <v>3154</v>
      </c>
      <c r="W44" s="44">
        <f>150+600+296+470+300+140+1000+114+400+127+1158+600+102+90+305+25+2000+420+620</f>
        <v>8917</v>
      </c>
      <c r="X44" s="44">
        <f>210+450+120+70+800+800+890+1000</f>
        <v>4340</v>
      </c>
      <c r="Y44" s="44">
        <f>300+150+2000+1718+369+1454-1454+175-2000+700+500+1259+290+2000+(3194-714)+1200</f>
        <v>11141</v>
      </c>
      <c r="Z44" s="44">
        <f>(1000+799+4241-3000+1200)+(1280-640+180+397+800+560+2000+2000)</f>
        <v>10817</v>
      </c>
      <c r="AA44" s="44">
        <f>600+1800+(2544-1500)+340+(4000-2000+300+580+9975)-4000</f>
        <v>12639</v>
      </c>
    </row>
    <row r="45" ht="15.0" customHeight="1">
      <c r="A45" s="46" t="s">
        <v>72</v>
      </c>
      <c r="B45" s="44">
        <f t="shared" si="12"/>
        <v>45472</v>
      </c>
      <c r="C45" s="44">
        <v>6500.0</v>
      </c>
      <c r="D45" s="44"/>
      <c r="E45" s="44">
        <f>1915</f>
        <v>1915</v>
      </c>
      <c r="F45" s="44">
        <f>1950+140+1702</f>
        <v>3792</v>
      </c>
      <c r="G45" s="44"/>
      <c r="H45" s="44"/>
      <c r="I45" s="44">
        <v>122.0</v>
      </c>
      <c r="J45" s="44">
        <f>71+706+1500</f>
        <v>2277</v>
      </c>
      <c r="K45" s="44">
        <f>109</f>
        <v>109</v>
      </c>
      <c r="L45" s="44">
        <f>32</f>
        <v>32</v>
      </c>
      <c r="M45" s="44">
        <f>354</f>
        <v>354</v>
      </c>
      <c r="N45" s="44"/>
      <c r="O45" s="44">
        <f>630+214</f>
        <v>844</v>
      </c>
      <c r="P45" s="44">
        <f>4370+340</f>
        <v>4710</v>
      </c>
      <c r="Q45" s="44">
        <f>6875+1042</f>
        <v>7917</v>
      </c>
      <c r="R45" s="44">
        <f>69</f>
        <v>69</v>
      </c>
      <c r="S45" s="44">
        <v>501.0</v>
      </c>
      <c r="T45" s="44">
        <v>21.0</v>
      </c>
      <c r="U45" s="44">
        <f>3500+706+868+2710</f>
        <v>7784</v>
      </c>
      <c r="V45" s="44">
        <f>208+734</f>
        <v>942</v>
      </c>
      <c r="W45" s="44">
        <f>636+921+144</f>
        <v>1701</v>
      </c>
      <c r="X45" s="44">
        <f>569+785+83+1580</f>
        <v>3017</v>
      </c>
      <c r="Y45" s="44"/>
      <c r="Z45" s="44">
        <f>128+563+4420+(3095)</f>
        <v>8206</v>
      </c>
      <c r="AA45" s="44">
        <f>384+329+134+312</f>
        <v>1159</v>
      </c>
    </row>
    <row r="46" ht="15.0" customHeight="1">
      <c r="A46" s="46" t="s">
        <v>73</v>
      </c>
      <c r="B46" s="44">
        <f t="shared" si="12"/>
        <v>300856</v>
      </c>
      <c r="C46" s="44"/>
      <c r="D46" s="44"/>
      <c r="E46" s="44"/>
      <c r="F46" s="44">
        <f>1400*2+700*2</f>
        <v>4200</v>
      </c>
      <c r="G46" s="44">
        <v>1500.0</v>
      </c>
      <c r="H46" s="44"/>
      <c r="I46" s="44">
        <f>72898+7300+21610+18185+8640+6675+(920+273+1150+80+200+184+400+1395+782+1360+675+40+136+2000)</f>
        <v>144903</v>
      </c>
      <c r="J46" s="44">
        <f>6000+12000</f>
        <v>18000</v>
      </c>
      <c r="K46" s="44"/>
      <c r="L46" s="44">
        <f>(1700+12000+4500)+(668+491+340+58+732+98+387+340+110+711+999+1435+120+690+95+821+244+704+119)+(1645+720+1435+1720)+(500+1000+200+1350)</f>
        <v>35932</v>
      </c>
      <c r="M46" s="44"/>
      <c r="N46" s="44">
        <f>1000+20600</f>
        <v>21600</v>
      </c>
      <c r="O46" s="44"/>
      <c r="P46" s="44"/>
      <c r="Q46" s="44">
        <f>1700+380+126+2166+614+126+112+84+2000+85+550+1640+126+500+126+838+500+126+1423+126+363+267+3041+126+480+11500</f>
        <v>29125</v>
      </c>
      <c r="R46" s="44">
        <f>489*37+1000+2921+1485+78+800+600</f>
        <v>24977</v>
      </c>
      <c r="S46" s="44"/>
      <c r="T46" s="44"/>
      <c r="U46" s="44"/>
      <c r="V46" s="44"/>
      <c r="W46" s="44"/>
      <c r="X46" s="44">
        <v>2806.0</v>
      </c>
      <c r="Y46" s="44">
        <f>14998+240+2575</f>
        <v>17813</v>
      </c>
      <c r="Z46" s="44"/>
      <c r="AA46" s="44"/>
    </row>
    <row r="47" ht="15.0" customHeight="1">
      <c r="A47" s="51" t="s">
        <v>74</v>
      </c>
      <c r="B47" s="52"/>
      <c r="C47" s="52"/>
      <c r="D47" s="52">
        <f t="shared" ref="D47:AA47" si="13">SUM(D18:D46)-D41-D46-D43</f>
        <v>65026</v>
      </c>
      <c r="E47" s="52">
        <f t="shared" si="13"/>
        <v>164149</v>
      </c>
      <c r="F47" s="52">
        <f t="shared" si="13"/>
        <v>57868</v>
      </c>
      <c r="G47" s="52">
        <f t="shared" si="13"/>
        <v>99023</v>
      </c>
      <c r="H47" s="52">
        <f t="shared" si="13"/>
        <v>73863</v>
      </c>
      <c r="I47" s="52">
        <f t="shared" si="13"/>
        <v>82958</v>
      </c>
      <c r="J47" s="52">
        <f t="shared" si="13"/>
        <v>47793</v>
      </c>
      <c r="K47" s="52">
        <f t="shared" si="13"/>
        <v>91999</v>
      </c>
      <c r="L47" s="52">
        <f t="shared" si="13"/>
        <v>44128</v>
      </c>
      <c r="M47" s="52">
        <f t="shared" si="13"/>
        <v>107731</v>
      </c>
      <c r="N47" s="52">
        <f t="shared" si="13"/>
        <v>61504</v>
      </c>
      <c r="O47" s="52">
        <f t="shared" si="13"/>
        <v>127392</v>
      </c>
      <c r="P47" s="52">
        <f t="shared" si="13"/>
        <v>63083</v>
      </c>
      <c r="Q47" s="52">
        <f t="shared" si="13"/>
        <v>102248</v>
      </c>
      <c r="R47" s="52">
        <f t="shared" si="13"/>
        <v>23154</v>
      </c>
      <c r="S47" s="52">
        <f t="shared" si="13"/>
        <v>65847</v>
      </c>
      <c r="T47" s="52">
        <f t="shared" si="13"/>
        <v>41432</v>
      </c>
      <c r="U47" s="52">
        <f t="shared" si="13"/>
        <v>68334</v>
      </c>
      <c r="V47" s="52">
        <f t="shared" si="13"/>
        <v>57419</v>
      </c>
      <c r="W47" s="52">
        <f t="shared" si="13"/>
        <v>117330</v>
      </c>
      <c r="X47" s="52">
        <f t="shared" si="13"/>
        <v>52125</v>
      </c>
      <c r="Y47" s="52">
        <f t="shared" si="13"/>
        <v>111469</v>
      </c>
      <c r="Z47" s="52">
        <f t="shared" si="13"/>
        <v>71725</v>
      </c>
      <c r="AA47" s="52">
        <f t="shared" si="13"/>
        <v>94224</v>
      </c>
    </row>
    <row r="48" ht="15.75" customHeight="1">
      <c r="A48" s="53" t="s">
        <v>75</v>
      </c>
      <c r="B48" s="54"/>
      <c r="C48" s="54"/>
      <c r="D48" s="54">
        <f t="shared" ref="D48:AA48" si="14">D16-D47</f>
        <v>8561</v>
      </c>
      <c r="E48" s="54">
        <f t="shared" si="14"/>
        <v>-4379</v>
      </c>
      <c r="F48" s="54">
        <f t="shared" si="14"/>
        <v>-12398</v>
      </c>
      <c r="G48" s="54">
        <f t="shared" si="14"/>
        <v>10749</v>
      </c>
      <c r="H48" s="54">
        <f t="shared" si="14"/>
        <v>-34763</v>
      </c>
      <c r="I48" s="54">
        <f t="shared" si="14"/>
        <v>63410</v>
      </c>
      <c r="J48" s="54">
        <f t="shared" si="14"/>
        <v>-8693</v>
      </c>
      <c r="K48" s="54">
        <f t="shared" si="14"/>
        <v>17325</v>
      </c>
      <c r="L48" s="54">
        <f t="shared" si="14"/>
        <v>-11728</v>
      </c>
      <c r="M48" s="54">
        <f t="shared" si="14"/>
        <v>1631</v>
      </c>
      <c r="N48" s="54">
        <f t="shared" si="14"/>
        <v>-22404</v>
      </c>
      <c r="O48" s="54">
        <f t="shared" si="14"/>
        <v>-10842</v>
      </c>
      <c r="P48" s="54">
        <f t="shared" si="14"/>
        <v>75257</v>
      </c>
      <c r="Q48" s="54">
        <f t="shared" si="14"/>
        <v>111989</v>
      </c>
      <c r="R48" s="54">
        <f t="shared" si="14"/>
        <v>12868</v>
      </c>
      <c r="S48" s="54">
        <f t="shared" si="14"/>
        <v>16788</v>
      </c>
      <c r="T48" s="54">
        <f t="shared" si="14"/>
        <v>-33797</v>
      </c>
      <c r="U48" s="54">
        <f t="shared" si="14"/>
        <v>1686</v>
      </c>
      <c r="V48" s="54">
        <f t="shared" si="14"/>
        <v>2931</v>
      </c>
      <c r="W48" s="54">
        <f t="shared" si="14"/>
        <v>9433</v>
      </c>
      <c r="X48" s="54">
        <f t="shared" si="14"/>
        <v>-11817</v>
      </c>
      <c r="Y48" s="54">
        <f t="shared" si="14"/>
        <v>5314</v>
      </c>
      <c r="Z48" s="54">
        <f t="shared" si="14"/>
        <v>-42944</v>
      </c>
      <c r="AA48" s="54">
        <f t="shared" si="14"/>
        <v>21840</v>
      </c>
    </row>
  </sheetData>
  <mergeCells count="4">
    <mergeCell ref="R1:S1"/>
    <mergeCell ref="X1:Y1"/>
    <mergeCell ref="I2:J2"/>
    <mergeCell ref="R2:S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4.88"/>
    <col customWidth="1" min="2" max="25" width="10.13"/>
  </cols>
  <sheetData>
    <row r="1">
      <c r="H1" s="55"/>
      <c r="K1" s="56"/>
      <c r="O1" s="55"/>
    </row>
    <row r="2" ht="15.75" customHeight="1">
      <c r="A2" s="57"/>
      <c r="B2" s="58" t="s">
        <v>9</v>
      </c>
      <c r="C2" s="58" t="s">
        <v>10</v>
      </c>
      <c r="D2" s="58" t="s">
        <v>11</v>
      </c>
      <c r="E2" s="58" t="s">
        <v>12</v>
      </c>
      <c r="F2" s="58" t="s">
        <v>13</v>
      </c>
      <c r="G2" s="58" t="s">
        <v>14</v>
      </c>
      <c r="H2" s="58" t="s">
        <v>15</v>
      </c>
      <c r="I2" s="58" t="s">
        <v>16</v>
      </c>
      <c r="J2" s="58" t="s">
        <v>17</v>
      </c>
      <c r="K2" s="58" t="s">
        <v>18</v>
      </c>
      <c r="L2" s="58" t="s">
        <v>19</v>
      </c>
      <c r="M2" s="58" t="s">
        <v>20</v>
      </c>
      <c r="N2" s="58" t="s">
        <v>21</v>
      </c>
      <c r="O2" s="58" t="s">
        <v>22</v>
      </c>
      <c r="P2" s="58" t="s">
        <v>23</v>
      </c>
      <c r="Q2" s="58" t="s">
        <v>24</v>
      </c>
      <c r="R2" s="58" t="s">
        <v>25</v>
      </c>
      <c r="S2" s="58" t="s">
        <v>26</v>
      </c>
      <c r="T2" s="58" t="s">
        <v>27</v>
      </c>
      <c r="U2" s="58" t="s">
        <v>28</v>
      </c>
      <c r="V2" s="58" t="s">
        <v>29</v>
      </c>
      <c r="W2" s="58" t="s">
        <v>30</v>
      </c>
      <c r="X2" s="58" t="s">
        <v>31</v>
      </c>
      <c r="Y2" s="58" t="s">
        <v>32</v>
      </c>
    </row>
    <row r="3" ht="15.75" customHeight="1">
      <c r="A3" s="59" t="str">
        <f>'Бюджет 2019'!A22</f>
        <v>Накопления (строительные) 9%</v>
      </c>
      <c r="B3" s="60">
        <f>1400+'Бюджет 2019'!D22-'Бюджет 2019'!D41</f>
        <v>6607</v>
      </c>
      <c r="C3" s="60">
        <f>B3+'Бюджет 2019'!E22-'Бюджет 2019'!E41</f>
        <v>13507</v>
      </c>
      <c r="D3" s="60">
        <f>C3+'Бюджет 2019'!F22-'Бюджет 2019'!F41</f>
        <v>17507</v>
      </c>
      <c r="E3" s="60">
        <f>D3+'Бюджет 2019'!G22-'Бюджет 2019'!G41</f>
        <v>27001</v>
      </c>
      <c r="F3" s="60">
        <f>E3+'Бюджет 2019'!H22-'Бюджет 2019'!H41</f>
        <v>31101</v>
      </c>
      <c r="G3" s="60">
        <f>F3+'Бюджет 2019'!I22-'Бюджет 2019'!I41</f>
        <v>41701</v>
      </c>
      <c r="H3" s="60">
        <f>G3+'Бюджет 2019'!J22-'Бюджет 2019'!J41</f>
        <v>20194</v>
      </c>
      <c r="I3" s="60">
        <f>H3+'Бюджет 2019'!K22-'Бюджет 2019'!K41</f>
        <v>14485</v>
      </c>
      <c r="J3" s="60">
        <f>I3+'Бюджет 2019'!L22-'Бюджет 2019'!L41</f>
        <v>-5371</v>
      </c>
      <c r="K3" s="60">
        <f>J3+'Бюджет 2019'!M22-'Бюджет 2019'!M41</f>
        <v>2133</v>
      </c>
      <c r="L3" s="60">
        <f>K3+'Бюджет 2019'!N22-'Бюджет 2019'!N41</f>
        <v>1131</v>
      </c>
      <c r="M3" s="60">
        <f>L3+'Бюджет 2019'!O22-'Бюджет 2019'!O41</f>
        <v>6744</v>
      </c>
      <c r="N3" s="60">
        <f>M3+'Бюджет 2019'!P22-'Бюджет 2019'!P41</f>
        <v>-4097</v>
      </c>
      <c r="O3" s="60">
        <f>N3+'Бюджет 2019'!Q22-'Бюджет 2019'!Q41</f>
        <v>-2328</v>
      </c>
      <c r="P3" s="60">
        <f>O3+'Бюджет 2019'!R22-'Бюджет 2019'!R41</f>
        <v>872</v>
      </c>
      <c r="Q3" s="60">
        <f>P3+'Бюджет 2019'!S22-'Бюджет 2019'!S41</f>
        <v>1961</v>
      </c>
      <c r="R3" s="60">
        <f>Q3+'Бюджет 2019'!T22-'Бюджет 2019'!T41</f>
        <v>-32553</v>
      </c>
      <c r="S3" s="60">
        <f>R3+'Бюджет 2019'!U22-'Бюджет 2019'!U41</f>
        <v>-24706</v>
      </c>
      <c r="T3" s="60">
        <f>S3+'Бюджет 2019'!V22-'Бюджет 2019'!V41</f>
        <v>-19619</v>
      </c>
      <c r="U3" s="60">
        <f>T3+'Бюджет 2019'!W22-'Бюджет 2019'!W41</f>
        <v>-8319</v>
      </c>
      <c r="V3" s="60">
        <f>U3+'Бюджет 2019'!X22-'Бюджет 2019'!X41</f>
        <v>-6094</v>
      </c>
      <c r="W3" s="60">
        <f>V3+'Бюджет 2019'!Y22-'Бюджет 2019'!Y41</f>
        <v>-1685</v>
      </c>
      <c r="X3" s="60">
        <f>W3+'Бюджет 2019'!Z22-'Бюджет 2019'!Z41</f>
        <v>115</v>
      </c>
      <c r="Y3" s="60">
        <f>X3+'Бюджет 2019'!AA22-'Бюджет 2019'!AA41</f>
        <v>1391</v>
      </c>
    </row>
    <row r="4" ht="15.75" customHeight="1">
      <c r="A4" s="59" t="str">
        <f>'Бюджет 2019'!A23</f>
        <v>Накопления (отпуск) 11%</v>
      </c>
      <c r="B4" s="61">
        <f>120000+68400</f>
        <v>188400</v>
      </c>
      <c r="C4" s="60">
        <f>B4+'Бюджет 2019'!E23-'Бюджет 2019'!E46</f>
        <v>201900</v>
      </c>
      <c r="D4" s="60">
        <f>C4+'Бюджет 2019'!F23-'Бюджет 2019'!F46</f>
        <v>202700</v>
      </c>
      <c r="E4" s="60">
        <f>D4+'Бюджет 2019'!G23-'Бюджет 2019'!G46</f>
        <v>213200</v>
      </c>
      <c r="F4" s="60">
        <f>E4+'Бюджет 2019'!H23-'Бюджет 2019'!H46</f>
        <v>221300</v>
      </c>
      <c r="G4" s="60">
        <f>F4+'Бюджет 2019'!I23-'Бюджет 2019'!I46</f>
        <v>92397</v>
      </c>
      <c r="H4" s="60">
        <f>G4+'Бюджет 2019'!J23-'Бюджет 2019'!J46</f>
        <v>78697</v>
      </c>
      <c r="I4" s="60">
        <f>H4+'Бюджет 2019'!K23-'Бюджет 2019'!K46</f>
        <v>90597</v>
      </c>
      <c r="J4" s="60">
        <f>I4+'Бюджет 2019'!L23-'Бюджет 2019'!L46</f>
        <v>58165</v>
      </c>
      <c r="K4" s="60">
        <f>J4+'Бюджет 2019'!M23-'Бюджет 2019'!M46</f>
        <v>70165</v>
      </c>
      <c r="L4" s="60">
        <f>K4+'Бюджет 2019'!N23-'Бюджет 2019'!N46</f>
        <v>52865</v>
      </c>
      <c r="M4" s="60">
        <f>L4+'Бюджет 2019'!O23-'Бюджет 2019'!O46</f>
        <v>84135</v>
      </c>
      <c r="N4" s="60">
        <f>M4+'Бюджет 2019'!P23-'Бюджет 2019'!P46</f>
        <v>84135</v>
      </c>
      <c r="O4" s="60">
        <f>N4+'Бюджет 2019'!Q23-'Бюджет 2019'!Q46</f>
        <v>78510</v>
      </c>
      <c r="P4" s="60">
        <f>O4+'Бюджет 2019'!R23-'Бюджет 2019'!R46</f>
        <v>57433</v>
      </c>
      <c r="Q4" s="60">
        <f>P4+'Бюджет 2019'!S23-'Бюджет 2019'!S46</f>
        <v>67333</v>
      </c>
      <c r="R4" s="60">
        <f>Q4+'Бюджет 2019'!T23-'Бюджет 2019'!T46</f>
        <v>68133</v>
      </c>
      <c r="S4" s="60">
        <f>R4+'Бюджет 2019'!U23-'Бюджет 2019'!U46</f>
        <v>75733</v>
      </c>
      <c r="T4" s="60">
        <f>S4+'Бюджет 2019'!V23-'Бюджет 2019'!V46</f>
        <v>82333</v>
      </c>
      <c r="U4" s="60">
        <f>T4+'Бюджет 2019'!W23-'Бюджет 2019'!W46</f>
        <v>96133</v>
      </c>
      <c r="V4" s="60">
        <f>U4+'Бюджет 2019'!X23-'Бюджет 2019'!X46</f>
        <v>97727</v>
      </c>
      <c r="W4" s="60">
        <f>V4+'Бюджет 2019'!Y23-'Бюджет 2019'!Y46</f>
        <v>91414</v>
      </c>
      <c r="X4" s="60">
        <f>W4+'Бюджет 2019'!Z23-'Бюджет 2019'!Z46</f>
        <v>97414</v>
      </c>
      <c r="Y4" s="60">
        <f>X4+'Бюджет 2019'!AA23-'Бюджет 2019'!AA46</f>
        <v>109114</v>
      </c>
    </row>
    <row r="5" ht="15.75" customHeight="1">
      <c r="A5" s="59" t="str">
        <f>'Бюджет 2019'!A24</f>
        <v>Накопления (одежда) 6%</v>
      </c>
      <c r="B5" s="17">
        <f>1800+'Бюджет 2019'!D24-'Бюджет 2019'!D43</f>
        <v>-295</v>
      </c>
      <c r="C5" s="60">
        <f>B5+'Бюджет 2019'!E24-'Бюджет 2019'!E43</f>
        <v>4338</v>
      </c>
      <c r="D5" s="60">
        <f>C5+'Бюджет 2019'!F24-'Бюджет 2019'!F43</f>
        <v>7038</v>
      </c>
      <c r="E5" s="60">
        <f>D5+'Бюджет 2019'!G24-'Бюджет 2019'!G43</f>
        <v>8578</v>
      </c>
      <c r="F5" s="60">
        <f>E5+'Бюджет 2019'!H24-'Бюджет 2019'!H43</f>
        <v>8817</v>
      </c>
      <c r="G5" s="60">
        <f>F5+'Бюджет 2019'!I24-'Бюджет 2019'!I43</f>
        <v>3191</v>
      </c>
      <c r="H5" s="60">
        <f>G5+'Бюджет 2019'!J24-'Бюджет 2019'!J43</f>
        <v>1293</v>
      </c>
      <c r="I5" s="60">
        <f>H5+'Бюджет 2019'!K24-'Бюджет 2019'!K43</f>
        <v>-11922</v>
      </c>
      <c r="J5" s="60">
        <f>I5+'Бюджет 2019'!L24-'Бюджет 2019'!L43</f>
        <v>-11022</v>
      </c>
      <c r="K5" s="60">
        <f>J5+'Бюджет 2019'!M24-'Бюджет 2019'!M43</f>
        <v>-5381</v>
      </c>
      <c r="L5" s="60">
        <f>K5+'Бюджет 2019'!N24-'Бюджет 2019'!N43</f>
        <v>-21889</v>
      </c>
      <c r="M5" s="60">
        <f>L5+'Бюджет 2019'!O24-'Бюджет 2019'!O43</f>
        <v>-18902</v>
      </c>
      <c r="N5" s="60">
        <f>M5+'Бюджет 2019'!P24-'Бюджет 2019'!P43</f>
        <v>-14933</v>
      </c>
      <c r="O5" s="60">
        <f>N5+'Бюджет 2019'!Q24-'Бюджет 2019'!Q43</f>
        <v>-13413</v>
      </c>
      <c r="P5" s="60">
        <f>O5+'Бюджет 2019'!R24-'Бюджет 2019'!R43</f>
        <v>-11313</v>
      </c>
      <c r="Q5" s="60">
        <f>P5+'Бюджет 2019'!S24-'Бюджет 2019'!S43</f>
        <v>-17968</v>
      </c>
      <c r="R5" s="60">
        <f>Q5+'Бюджет 2019'!T24-'Бюджет 2019'!T43</f>
        <v>-18458</v>
      </c>
      <c r="S5" s="60">
        <f>R5+'Бюджет 2019'!U24-'Бюджет 2019'!U43</f>
        <v>-15086</v>
      </c>
      <c r="T5" s="60">
        <f>S5+'Бюджет 2019'!V24-'Бюджет 2019'!V43</f>
        <v>-21765</v>
      </c>
      <c r="U5" s="60">
        <f>T5+'Бюджет 2019'!W24-'Бюджет 2019'!W43</f>
        <v>-16060</v>
      </c>
      <c r="V5" s="60">
        <f>U5+'Бюджет 2019'!X24-'Бюджет 2019'!X43</f>
        <v>-13660</v>
      </c>
      <c r="W5" s="60">
        <f>V5+'Бюджет 2019'!Y24-'Бюджет 2019'!Y43</f>
        <v>-19502</v>
      </c>
      <c r="X5" s="60">
        <f>W5+'Бюджет 2019'!Z24-'Бюджет 2019'!Z43</f>
        <v>-17902</v>
      </c>
      <c r="Y5" s="60">
        <f>X5+'Бюджет 2019'!AA24-'Бюджет 2019'!AA43</f>
        <v>-15113</v>
      </c>
    </row>
    <row r="8">
      <c r="A8" s="55"/>
      <c r="C8" s="62"/>
    </row>
    <row r="9">
      <c r="A9" s="55"/>
      <c r="C9" s="62"/>
    </row>
    <row r="10">
      <c r="A10" s="63"/>
      <c r="C10" s="62"/>
    </row>
    <row r="11">
      <c r="A11" s="63"/>
      <c r="B11" s="64"/>
      <c r="C11" s="65"/>
    </row>
    <row r="12">
      <c r="A12" s="63"/>
      <c r="B12" s="64"/>
      <c r="C12" s="65"/>
    </row>
    <row r="13">
      <c r="A13" s="63"/>
      <c r="B13" s="64"/>
      <c r="C13" s="65"/>
    </row>
    <row r="14">
      <c r="A14" s="63"/>
      <c r="B14" s="64"/>
      <c r="C14" s="65"/>
    </row>
    <row r="15">
      <c r="A15" s="63"/>
      <c r="B15" s="64"/>
      <c r="C15" s="65"/>
      <c r="D15" s="55"/>
    </row>
    <row r="16">
      <c r="A16" s="63"/>
      <c r="B16" s="64"/>
      <c r="C16" s="6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7.0"/>
  </cols>
  <sheetData>
    <row r="1" ht="15.75" customHeight="1">
      <c r="A1" s="13"/>
      <c r="B1" s="15" t="s">
        <v>76</v>
      </c>
      <c r="C1" s="15" t="s">
        <v>77</v>
      </c>
      <c r="D1" s="15" t="s">
        <v>78</v>
      </c>
      <c r="E1" s="15" t="s">
        <v>79</v>
      </c>
      <c r="F1" s="15" t="s">
        <v>80</v>
      </c>
      <c r="G1" s="15" t="s">
        <v>81</v>
      </c>
      <c r="H1" s="15" t="s">
        <v>82</v>
      </c>
      <c r="I1" s="15" t="s">
        <v>83</v>
      </c>
      <c r="J1" s="15" t="s">
        <v>84</v>
      </c>
      <c r="K1" s="15" t="s">
        <v>85</v>
      </c>
      <c r="L1" s="15" t="s">
        <v>86</v>
      </c>
      <c r="M1" s="15" t="s">
        <v>87</v>
      </c>
    </row>
    <row r="2">
      <c r="A2" s="63" t="s">
        <v>88</v>
      </c>
      <c r="B2" s="66">
        <f>'Бюджет 2019'!E8+'Бюджет 2019'!E9+'Бюджет 2019'!E10+'Бюджет 2019'!E11+'Бюджет 2019'!E12+'Бюджет 2019'!D12+'Бюджет 2019'!D11+'Бюджет 2019'!D10+'Бюджет 2019'!D9+'Бюджет 2019'!D8</f>
        <v>150550</v>
      </c>
      <c r="C2" s="66">
        <f>'Бюджет 2019'!F8+'Бюджет 2019'!F9+'Бюджет 2019'!F10+'Бюджет 2019'!F11+'Бюджет 2019'!F12+'Бюджет 2019'!G12+'Бюджет 2019'!G11+'Бюджет 2019'!G10+'Бюджет 2019'!G9+'Бюджет 2019'!G8</f>
        <v>154530</v>
      </c>
      <c r="D2" s="66">
        <f>'Бюджет 2019'!H8+'Бюджет 2019'!H9+'Бюджет 2019'!H10+'Бюджет 2019'!H11+'Бюджет 2019'!H12+'Бюджет 2019'!I12+'Бюджет 2019'!I11+'Бюджет 2019'!I10+'Бюджет 2019'!I9+'Бюджет 2019'!I8</f>
        <v>185380</v>
      </c>
      <c r="E2" s="66">
        <f>'Бюджет 2019'!J8+'Бюджет 2019'!J9+'Бюджет 2019'!J10+'Бюджет 2019'!J11+'Бюджет 2019'!J12+'Бюджет 2019'!K12+'Бюджет 2019'!K11+'Бюджет 2019'!K10+'Бюджет 2019'!K9+'Бюджет 2019'!K8</f>
        <v>148100</v>
      </c>
      <c r="F2" s="66">
        <f>'Бюджет 2019'!L8+'Бюджет 2019'!L9+'Бюджет 2019'!L10+'Бюджет 2019'!L11+'Бюджет 2019'!L12+'Бюджет 2019'!M12+'Бюджет 2019'!M11+'Бюджет 2019'!M10+'Бюджет 2019'!M9+'Бюджет 2019'!M8</f>
        <v>141515</v>
      </c>
      <c r="G2" s="66">
        <f>'Бюджет 2019'!N8+'Бюджет 2019'!N9+'Бюджет 2019'!N10+'Бюджет 2019'!N11+'Бюджет 2019'!N12+'Бюджет 2019'!O12+'Бюджет 2019'!O11+'Бюджет 2019'!O10+'Бюджет 2019'!O9+'Бюджет 2019'!O8</f>
        <v>149980</v>
      </c>
      <c r="H2" s="66">
        <f>'Бюджет 2019'!Q8+'Бюджет 2019'!Q9+'Бюджет 2019'!Q10+'Бюджет 2019'!Q11+'Бюджет 2019'!Q12+'Бюджет 2019'!P12+'Бюджет 2019'!P11+'Бюджет 2019'!P10+'Бюджет 2019'!P9+'Бюджет 2019'!P8</f>
        <v>352382</v>
      </c>
      <c r="I2" s="66">
        <f>'Бюджет 2019'!R8+'Бюджет 2019'!R9+'Бюджет 2019'!R10+'Бюджет 2019'!R11+'Бюджет 2019'!R12+'Бюджет 2019'!S12+'Бюджет 2019'!S11+'Бюджет 2019'!S10+'Бюджет 2019'!S9+'Бюджет 2019'!S8</f>
        <v>115645</v>
      </c>
      <c r="J2" s="66">
        <f>'Бюджет 2019'!U8+'Бюджет 2019'!U9+'Бюджет 2019'!U10+'Бюджет 2019'!U11+'Бюджет 2019'!U12+'Бюджет 2019'!T12+'Бюджет 2019'!T11+'Бюджет 2019'!T10+'Бюджет 2019'!T9+'Бюджет 2019'!T8</f>
        <v>77450</v>
      </c>
      <c r="K2" s="66">
        <f>'Бюджет 2019'!V8+'Бюджет 2019'!V9+'Бюджет 2019'!V10+'Бюджет 2019'!V11+'Бюджет 2019'!V12+'Бюджет 2019'!W12+'Бюджет 2019'!W11+'Бюджет 2019'!W10+'Бюджет 2019'!W9+'Бюджет 2019'!W8</f>
        <v>186050</v>
      </c>
      <c r="L2" s="66">
        <f>'Бюджет 2019'!Y8+'Бюджет 2019'!Y9+'Бюджет 2019'!Y10+'Бюджет 2019'!Y11+'Бюджет 2019'!Y12+'Бюджет 2019'!X12+'Бюджет 2019'!X11+'Бюджет 2019'!X10+'Бюджет 2019'!X9+'Бюджет 2019'!X8</f>
        <v>145330</v>
      </c>
      <c r="M2" s="66">
        <f>'Бюджет 2019'!Z8+'Бюджет 2019'!Z9+'Бюджет 2019'!Z10+'Бюджет 2019'!Z11+'Бюджет 2019'!Z12+'Бюджет 2019'!AA12+'Бюджет 2019'!AA11+'Бюджет 2019'!AA10+'Бюджет 2019'!AA9+'Бюджет 2019'!AA8</f>
        <v>142538</v>
      </c>
    </row>
    <row r="3">
      <c r="A3" s="63" t="s">
        <v>89</v>
      </c>
      <c r="B3" s="66">
        <f>'Бюджет 2019'!D13+'Бюджет 2019'!D14+'Бюджет 2019'!D15+'Бюджет 2019'!E13+'Бюджет 2019'!E14+'Бюджет 2019'!E15</f>
        <v>82807</v>
      </c>
      <c r="C3" s="66">
        <f>'Бюджет 2019'!F13+'Бюджет 2019'!F14+'Бюджет 2019'!F15+'Бюджет 2019'!G13+'Бюджет 2019'!G14+'Бюджет 2019'!G15</f>
        <v>712</v>
      </c>
      <c r="D3" s="66">
        <f>'Бюджет 2019'!H13+'Бюджет 2019'!H14+'Бюджет 2019'!H15+'Бюджет 2019'!I13+'Бюджет 2019'!I14+'Бюджет 2019'!I15</f>
        <v>88</v>
      </c>
      <c r="E3" s="66">
        <f>'Бюджет 2019'!J13+'Бюджет 2019'!J14+'Бюджет 2019'!J15+'Бюджет 2019'!K13+'Бюджет 2019'!K14+'Бюджет 2019'!K15</f>
        <v>324</v>
      </c>
      <c r="F3" s="66">
        <f>'Бюджет 2019'!L13+'Бюджет 2019'!L14+'Бюджет 2019'!L15+'Бюджет 2019'!M13+'Бюджет 2019'!M14+'Бюджет 2019'!M15</f>
        <v>247</v>
      </c>
      <c r="G3" s="66">
        <f>'Бюджет 2019'!N13+'Бюджет 2019'!N14+'Бюджет 2019'!N15+'Бюджет 2019'!O13+'Бюджет 2019'!O14+'Бюджет 2019'!Q15</f>
        <v>308</v>
      </c>
      <c r="H3" s="66">
        <f>'Бюджет 2019'!P13+'Бюджет 2019'!P14+'Бюджет 2019'!R15+'Бюджет 2019'!Q13+'Бюджет 2019'!Q14</f>
        <v>1982</v>
      </c>
      <c r="I3" s="66">
        <f>'Бюджет 2019'!R13+'Бюджет 2019'!R14+'Бюджет 2019'!S13+'Бюджет 2019'!S14+'Бюджет 2019'!S15</f>
        <v>1225</v>
      </c>
      <c r="J3" s="66">
        <f>'Бюджет 2019'!T13+'Бюджет 2019'!T14+'Бюджет 2019'!T15+'Бюджет 2019'!U13+'Бюджет 2019'!U14+'Бюджет 2019'!U15</f>
        <v>205</v>
      </c>
      <c r="K3" s="66">
        <f>'Бюджет 2019'!V13+'Бюджет 2019'!V14+'Бюджет 2019'!V15+'Бюджет 2019'!W13+'Бюджет 2019'!W14+'Бюджет 2019'!W15</f>
        <v>1063</v>
      </c>
      <c r="L3" s="66">
        <f>'Бюджет 2019'!X13+'Бюджет 2019'!X14+'Бюджет 2019'!X15+'Бюджет 2019'!Y13+'Бюджет 2019'!Y14+'Бюджет 2019'!Y15</f>
        <v>11761</v>
      </c>
      <c r="M3" s="66">
        <f>'Бюджет 2019'!AA13+'Бюджет 2019'!AA14+'Бюджет 2019'!AA15+'Бюджет 2019'!Z13+'Бюджет 2019'!Z14+'Бюджет 2019'!Z15</f>
        <v>2307</v>
      </c>
    </row>
    <row r="4">
      <c r="A4" s="63" t="s">
        <v>90</v>
      </c>
      <c r="B4" s="66">
        <f>'Статистика понедельная'!B4+'Статистика понедельная'!C4</f>
        <v>151300</v>
      </c>
      <c r="C4" s="66">
        <f>'Статистика понедельная'!D4+'Статистика понедельная'!E4</f>
        <v>71400</v>
      </c>
      <c r="D4" s="66">
        <f>'Статистика понедельная'!F4+'Статистика понедельная'!G4</f>
        <v>76600</v>
      </c>
      <c r="E4" s="66">
        <f>'Статистика понедельная'!H4+'Статистика понедельная'!I4</f>
        <v>60700</v>
      </c>
      <c r="F4" s="66">
        <f>'Статистика понедельная'!J4+'Статистика понедельная'!K4</f>
        <v>63900</v>
      </c>
      <c r="G4" s="66">
        <f>'Статистика понедельная'!L4+'Статистика понедельная'!M4</f>
        <v>93932</v>
      </c>
      <c r="H4" s="66">
        <f>'Статистика понедельная'!N4+'Статистика понедельная'!O4</f>
        <v>95100</v>
      </c>
      <c r="I4" s="66">
        <f>'Статистика понедельная'!P4+'Статистика понедельная'!Q4</f>
        <v>31200</v>
      </c>
      <c r="J4" s="66">
        <f>'Статистика понедельная'!R4+'Статистика понедельная'!S4</f>
        <v>22100</v>
      </c>
      <c r="K4" s="66">
        <f>'Статистика понедельная'!T4+'Статистика понедельная'!U4</f>
        <v>88900</v>
      </c>
      <c r="L4" s="66">
        <f>'Статистика понедельная'!V4+'Статистика понедельная'!W4</f>
        <v>66000</v>
      </c>
      <c r="M4" s="66">
        <f>'Статистика понедельная'!X4+'Статистика понедельная'!Y4</f>
        <v>50600</v>
      </c>
    </row>
    <row r="5">
      <c r="A5" s="63" t="s">
        <v>91</v>
      </c>
      <c r="B5" s="66">
        <f>'Статистика понедельная'!B5+'Статистика понедельная'!C5</f>
        <v>18496</v>
      </c>
      <c r="C5" s="66">
        <f>'Статистика понедельная'!D5+'Статистика понедельная'!E5</f>
        <v>7000</v>
      </c>
      <c r="D5" s="66">
        <f>'Статистика понедельная'!F5+'Статистика понедельная'!G5</f>
        <v>7590</v>
      </c>
      <c r="E5" s="66">
        <f>'Статистика понедельная'!H5+'Статистика понедельная'!I5</f>
        <v>15400</v>
      </c>
      <c r="F5" s="66">
        <f>'Статистика понедельная'!J5+'Статистика понедельная'!K5</f>
        <v>24672</v>
      </c>
      <c r="G5" s="66">
        <f>'Статистика понедельная'!L5+'Статистика понедельная'!M5</f>
        <v>3400</v>
      </c>
      <c r="H5" s="66">
        <f>'Статистика понедельная'!N5+'Статистика понедельная'!O5</f>
        <v>0</v>
      </c>
      <c r="I5" s="66">
        <f>'Статистика понедельная'!P5+'Статистика понедельная'!Q5</f>
        <v>4550</v>
      </c>
      <c r="J5" s="66">
        <f>'Статистика понедельная'!R5+'Статистика понедельная'!S5</f>
        <v>8090</v>
      </c>
      <c r="K5" s="66">
        <f>'Статистика понедельная'!T5+'Статистика понедельная'!U5</f>
        <v>10644</v>
      </c>
      <c r="L5" s="66">
        <f>'Статистика понедельная'!V5+'Статистика понедельная'!W5</f>
        <v>9890</v>
      </c>
      <c r="M5" s="66">
        <f>'Статистика понедельная'!X5+'Статистика понедельная'!Y5</f>
        <v>15025</v>
      </c>
    </row>
    <row r="6">
      <c r="A6" s="63" t="s">
        <v>92</v>
      </c>
      <c r="B6" s="66">
        <f>'Статистика понедельная'!B6+'Статистика понедельная'!C6</f>
        <v>49339</v>
      </c>
      <c r="C6" s="66">
        <f>'Статистика понедельная'!D6+'Статистика понедельная'!E6</f>
        <v>46814</v>
      </c>
      <c r="D6" s="66">
        <f>'Статистика понедельная'!F6+'Статистика понедельная'!G6</f>
        <v>42313</v>
      </c>
      <c r="E6" s="66">
        <f>'Статистика понедельная'!H6+'Статистика понедельная'!I6</f>
        <v>52629</v>
      </c>
      <c r="F6" s="66">
        <f>'Статистика понедельная'!J6+'Статистика понедельная'!K6</f>
        <v>27914</v>
      </c>
      <c r="G6" s="66">
        <f>'Статистика понедельная'!L6+'Статистика понедельная'!M6</f>
        <v>56323</v>
      </c>
      <c r="H6" s="66">
        <f>'Статистика понедельная'!N6+'Статистика понедельная'!O6</f>
        <v>50365</v>
      </c>
      <c r="I6" s="66">
        <f>'Статистика понедельная'!P6+'Статистика понедельная'!Q6</f>
        <v>34800</v>
      </c>
      <c r="J6" s="66">
        <f>'Статистика понедельная'!R6+'Статистика понедельная'!S6</f>
        <v>46637</v>
      </c>
      <c r="K6" s="66">
        <f>'Статистика понедельная'!T6+'Статистика понедельная'!U6</f>
        <v>51174</v>
      </c>
      <c r="L6" s="66">
        <f>'Статистика понедельная'!V6+'Статистика понедельная'!W6</f>
        <v>39478</v>
      </c>
      <c r="M6" s="66">
        <f>'Статистика понедельная'!X6+'Статистика понедельная'!Y6</f>
        <v>46526</v>
      </c>
    </row>
    <row r="7">
      <c r="A7" s="63" t="s">
        <v>93</v>
      </c>
      <c r="B7" s="66">
        <f>'Статистика понедельная'!B7+'Статистика понедельная'!C7</f>
        <v>2970</v>
      </c>
      <c r="C7" s="66">
        <f>'Статистика понедельная'!D7+'Статистика понедельная'!E7</f>
        <v>5090</v>
      </c>
      <c r="D7" s="66">
        <f>'Статистика понедельная'!F7+'Статистика понедельная'!G7</f>
        <v>5945</v>
      </c>
      <c r="E7" s="66">
        <f>'Статистика понедельная'!H7+'Статистика понедельная'!I7</f>
        <v>7750</v>
      </c>
      <c r="F7" s="66">
        <f>'Статистика понедельная'!J7+'Статистика понедельная'!K7</f>
        <v>5735</v>
      </c>
      <c r="G7" s="66">
        <f>'Статистика понедельная'!L7+'Статистика понедельная'!M7</f>
        <v>4840</v>
      </c>
      <c r="H7" s="66">
        <f>'Статистика понедельная'!N7+'Статистика понедельная'!O7</f>
        <v>3160</v>
      </c>
      <c r="I7" s="66">
        <f>'Статистика понедельная'!P7+'Статистика понедельная'!Q7</f>
        <v>2150</v>
      </c>
      <c r="J7" s="66">
        <f>'Статистика понедельная'!R7+'Статистика понедельная'!S7</f>
        <v>3120</v>
      </c>
      <c r="K7" s="66">
        <f>'Статистика понедельная'!T7+'Статистика понедельная'!U7</f>
        <v>1974</v>
      </c>
      <c r="L7" s="66">
        <f>'Статистика понедельная'!V7+'Статистика понедельная'!W7</f>
        <v>8521</v>
      </c>
      <c r="M7" s="66">
        <f>'Статистика понедельная'!X7+'Статистика понедельная'!Y7</f>
        <v>5800</v>
      </c>
    </row>
    <row r="8">
      <c r="A8" s="63" t="s">
        <v>94</v>
      </c>
      <c r="B8" s="66">
        <f>'Статистика понедельная'!B8+'Статистика понедельная'!C8</f>
        <v>3428</v>
      </c>
      <c r="C8" s="66">
        <f>'Статистика понедельная'!D8+'Статистика понедельная'!E8</f>
        <v>10344</v>
      </c>
      <c r="D8" s="66">
        <f>'Статистика понедельная'!F8+'Статистика понедельная'!G8</f>
        <v>18687</v>
      </c>
      <c r="E8" s="66">
        <f>'Статистика понедельная'!H8+'Статистика понедельная'!I8</f>
        <v>48947</v>
      </c>
      <c r="F8" s="66">
        <f>'Статистика понедельная'!J8+'Статистика понедельная'!K8</f>
        <v>28225</v>
      </c>
      <c r="G8" s="66">
        <f>'Статистика понедельная'!L8+'Статистика понедельная'!M8</f>
        <v>11509</v>
      </c>
      <c r="H8" s="66">
        <f>'Статистика понедельная'!N8+'Статистика понедельная'!O8</f>
        <v>42254</v>
      </c>
      <c r="I8" s="66">
        <f>'Статистика понедельная'!P8+'Статистика понедельная'!Q8</f>
        <v>7561</v>
      </c>
      <c r="J8" s="66">
        <f>'Статистика понедельная'!R8+'Статистика понедельная'!S8</f>
        <v>38199</v>
      </c>
      <c r="K8" s="66">
        <f>'Статистика понедельная'!T8+'Статистика понедельная'!U8</f>
        <v>3200</v>
      </c>
      <c r="L8" s="66">
        <f>'Статистика понедельная'!V8+'Статистика понедельная'!W8</f>
        <v>20281</v>
      </c>
      <c r="M8" s="66">
        <f>'Статистика понедельная'!X8+'Статистика понедельная'!Y8</f>
        <v>11479</v>
      </c>
    </row>
    <row r="9">
      <c r="A9" s="63" t="s">
        <v>73</v>
      </c>
      <c r="B9" s="66">
        <f>'Статистика понедельная'!B9+'Статистика понедельная'!C9</f>
        <v>0</v>
      </c>
      <c r="C9" s="66">
        <f>'Статистика понедельная'!D9+'Статистика понедельная'!E9</f>
        <v>5700</v>
      </c>
      <c r="D9" s="66">
        <f>'Статистика понедельная'!F9+'Статистика понедельная'!G9</f>
        <v>144903</v>
      </c>
      <c r="E9" s="66">
        <f>'Статистика понедельная'!H9+'Статистика понедельная'!I9</f>
        <v>18000</v>
      </c>
      <c r="F9" s="66">
        <f>'Статистика понедельная'!J9+'Статистика понедельная'!K9</f>
        <v>35932</v>
      </c>
      <c r="G9" s="66">
        <f>'Статистика понедельная'!L9+'Статистика понедельная'!M9</f>
        <v>21600</v>
      </c>
      <c r="H9" s="66">
        <f>'Статистика понедельная'!N9+'Статистика понедельная'!O9</f>
        <v>29125</v>
      </c>
      <c r="I9" s="66">
        <f>'Статистика понедельная'!P9+'Статистика понедельная'!Q9</f>
        <v>24977</v>
      </c>
      <c r="J9" s="66">
        <f>'Статистика понедельная'!R9+'Статистика понедельная'!S9</f>
        <v>0</v>
      </c>
      <c r="K9" s="66">
        <f>'Статистика понедельная'!T9+'Статистика понедельная'!U9</f>
        <v>0</v>
      </c>
      <c r="L9" s="66">
        <f>'Статистика понедельная'!V9+'Статистика понедельная'!W9</f>
        <v>20619</v>
      </c>
      <c r="M9" s="66">
        <f>'Статистика понедельная'!X9+'Статистика понедельная'!Y9</f>
        <v>0</v>
      </c>
    </row>
    <row r="10">
      <c r="A10" s="63" t="s">
        <v>95</v>
      </c>
      <c r="B10" s="66">
        <f>'Бюджет 2019'!D48+'Бюджет 2019'!E48</f>
        <v>4182</v>
      </c>
      <c r="C10" s="66">
        <f>'Бюджет 2019'!F48+'Бюджет 2019'!G48</f>
        <v>-1649</v>
      </c>
      <c r="D10" s="66">
        <f>'Бюджет 2019'!H48+'Бюджет 2019'!I48</f>
        <v>28647</v>
      </c>
      <c r="E10" s="66">
        <f>'Бюджет 2019'!J48+'Бюджет 2019'!K48</f>
        <v>8632</v>
      </c>
      <c r="F10" s="66">
        <f>'Бюджет 2019'!L48+'Бюджет 2019'!M48</f>
        <v>-10097</v>
      </c>
      <c r="G10" s="66">
        <f>'Бюджет 2019'!N48+'Бюджет 2019'!O48</f>
        <v>-33246</v>
      </c>
      <c r="H10" s="66">
        <f>'Бюджет 2019'!P48+'Бюджет 2019'!Q48</f>
        <v>187246</v>
      </c>
      <c r="I10" s="66">
        <f>'Бюджет 2019'!R48+'Бюджет 2019'!S48</f>
        <v>29656</v>
      </c>
      <c r="J10" s="66">
        <f>'Бюджет 2019'!T48+'Бюджет 2019'!U48</f>
        <v>-32111</v>
      </c>
      <c r="K10" s="66">
        <f>'Бюджет 2019'!V48+'Бюджет 2019'!W48</f>
        <v>12364</v>
      </c>
      <c r="L10" s="66">
        <f>'Бюджет 2019'!X48+'Бюджет 2019'!Y48</f>
        <v>-6503</v>
      </c>
      <c r="M10" s="66">
        <f>'Бюджет 2019'!Z48+'Бюджет 2019'!AA48</f>
        <v>-21104</v>
      </c>
    </row>
    <row r="35">
      <c r="A35" s="67" t="s">
        <v>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7.0"/>
  </cols>
  <sheetData>
    <row r="1" ht="15.75" customHeight="1">
      <c r="A1" s="13"/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4" t="s">
        <v>18</v>
      </c>
      <c r="L1" s="14" t="s">
        <v>19</v>
      </c>
      <c r="M1" s="14" t="s">
        <v>20</v>
      </c>
      <c r="N1" s="14" t="s">
        <v>21</v>
      </c>
      <c r="O1" s="14" t="s">
        <v>22</v>
      </c>
      <c r="P1" s="14" t="s">
        <v>23</v>
      </c>
      <c r="Q1" s="14" t="s">
        <v>24</v>
      </c>
      <c r="R1" s="14" t="s">
        <v>25</v>
      </c>
      <c r="S1" s="14" t="s">
        <v>26</v>
      </c>
      <c r="T1" s="14" t="s">
        <v>27</v>
      </c>
      <c r="U1" s="14" t="s">
        <v>28</v>
      </c>
      <c r="V1" s="14" t="s">
        <v>29</v>
      </c>
      <c r="W1" s="14" t="s">
        <v>30</v>
      </c>
      <c r="X1" s="14" t="s">
        <v>31</v>
      </c>
      <c r="Y1" s="14" t="s">
        <v>32</v>
      </c>
    </row>
    <row r="2">
      <c r="A2" s="63" t="s">
        <v>88</v>
      </c>
      <c r="B2" s="66">
        <f>'Бюджет 2019'!D8+'Бюджет 2019'!D9+'Бюджет 2019'!D10+'Бюджет 2019'!D11+'Бюджет 2019'!D12</f>
        <v>72850</v>
      </c>
      <c r="C2" s="66">
        <f>'Бюджет 2019'!E8+'Бюджет 2019'!E9+'Бюджет 2019'!E10+'Бюджет 2019'!E11+'Бюджет 2019'!E12</f>
        <v>77700</v>
      </c>
      <c r="D2" s="66">
        <f>'Бюджет 2019'!F8+'Бюджет 2019'!F9+'Бюджет 2019'!F10+'Бюджет 2019'!F11+'Бюджет 2019'!F12</f>
        <v>44850</v>
      </c>
      <c r="E2" s="66">
        <f>'Бюджет 2019'!G8+'Бюджет 2019'!G9+'Бюджет 2019'!G10+'Бюджет 2019'!G11+'Бюджет 2019'!G12</f>
        <v>109680</v>
      </c>
      <c r="F2" s="66">
        <f>'Бюджет 2019'!H8+'Бюджет 2019'!H9+'Бюджет 2019'!H10+'Бюджет 2019'!H11+'Бюджет 2019'!H12</f>
        <v>39100</v>
      </c>
      <c r="G2" s="66">
        <f>'Бюджет 2019'!I8+'Бюджет 2019'!I9+'Бюджет 2019'!I10+'Бюджет 2019'!I11+'Бюджет 2019'!I12</f>
        <v>146280</v>
      </c>
      <c r="H2" s="66">
        <f>'Бюджет 2019'!J8+'Бюджет 2019'!J9+'Бюджет 2019'!J10+'Бюджет 2019'!J11+'Бюджет 2019'!J12</f>
        <v>39100</v>
      </c>
      <c r="I2" s="66">
        <f>'Бюджет 2019'!K8+'Бюджет 2019'!K9+'Бюджет 2019'!K10+'Бюджет 2019'!K11+'Бюджет 2019'!K12</f>
        <v>109000</v>
      </c>
      <c r="J2" s="66">
        <f>'Бюджет 2019'!L8+'Бюджет 2019'!L9+'Бюджет 2019'!L10+'Бюджет 2019'!L11+'Бюджет 2019'!L12</f>
        <v>32400</v>
      </c>
      <c r="K2" s="66">
        <f>'Бюджет 2019'!M8+'Бюджет 2019'!M9+'Бюджет 2019'!M10+'Бюджет 2019'!M11+'Бюджет 2019'!M12</f>
        <v>109115</v>
      </c>
      <c r="L2" s="66">
        <f>'Бюджет 2019'!N8+'Бюджет 2019'!N9+'Бюджет 2019'!N10+'Бюджет 2019'!N11+'Бюджет 2019'!N12</f>
        <v>39100</v>
      </c>
      <c r="M2" s="66">
        <f>'Бюджет 2019'!O8+'Бюджет 2019'!O9+'Бюджет 2019'!O10+'Бюджет 2019'!O11+'Бюджет 2019'!O12</f>
        <v>110880</v>
      </c>
      <c r="N2" s="66">
        <f>'Бюджет 2019'!P8+'Бюджет 2019'!P9+'Бюджет 2019'!P10+'Бюджет 2019'!P11+'Бюджет 2019'!P12</f>
        <v>138340</v>
      </c>
      <c r="O2" s="66">
        <f>'Бюджет 2019'!Q8+'Бюджет 2019'!Q9+'Бюджет 2019'!Q10+'Бюджет 2019'!Q11+'Бюджет 2019'!Q12</f>
        <v>214042</v>
      </c>
      <c r="P2" s="66">
        <f>'Бюджет 2019'!R8+'Бюджет 2019'!R9+'Бюджет 2019'!R10+'Бюджет 2019'!R11+'Бюджет 2019'!R12</f>
        <v>33995</v>
      </c>
      <c r="Q2" s="66">
        <f>'Бюджет 2019'!S8+'Бюджет 2019'!S9+'Бюджет 2019'!S10+'Бюджет 2019'!S11+'Бюджет 2019'!S12</f>
        <v>81650</v>
      </c>
      <c r="R2" s="66">
        <f>'Бюджет 2019'!T8+'Бюджет 2019'!T9+'Бюджет 2019'!T10+'Бюджет 2019'!T11+'Бюджет 2019'!T12</f>
        <v>7550</v>
      </c>
      <c r="S2" s="66">
        <f>'Бюджет 2019'!U8+'Бюджет 2019'!U9+'Бюджет 2019'!U10+'Бюджет 2019'!U11+'Бюджет 2019'!U12</f>
        <v>69900</v>
      </c>
      <c r="T2" s="66">
        <f>'Бюджет 2019'!V8+'Бюджет 2019'!V9+'Бюджет 2019'!V10+'Бюджет 2019'!V11+'Бюджет 2019'!V12</f>
        <v>60350</v>
      </c>
      <c r="U2" s="66">
        <f>'Бюджет 2019'!W8+'Бюджет 2019'!W9+'Бюджет 2019'!W10+'Бюджет 2019'!W11+'Бюджет 2019'!W12</f>
        <v>125700</v>
      </c>
      <c r="V2" s="66">
        <f>'Бюджет 2019'!X8+'Бюджет 2019'!X9+'Бюджет 2019'!X10+'Бюджет 2019'!X11+'Бюджет 2019'!X12</f>
        <v>40150</v>
      </c>
      <c r="W2" s="66">
        <f>'Бюджет 2019'!Y8+'Бюджет 2019'!Y9+'Бюджет 2019'!Y10+'Бюджет 2019'!Y11+'Бюджет 2019'!Y12</f>
        <v>105180</v>
      </c>
      <c r="X2" s="66">
        <f>'Бюджет 2019'!Z8+'Бюджет 2019'!Z9+'Бюджет 2019'!Z10+'Бюджет 2019'!Z11+'Бюджет 2019'!Z12</f>
        <v>27700</v>
      </c>
      <c r="Y2" s="66">
        <f>'Бюджет 2019'!AA8+'Бюджет 2019'!AA9+'Бюджет 2019'!AA10+'Бюджет 2019'!AA11+'Бюджет 2019'!AA12</f>
        <v>114838</v>
      </c>
    </row>
    <row r="3">
      <c r="A3" s="63" t="s">
        <v>89</v>
      </c>
      <c r="B3" s="66">
        <f>'Бюджет 2019'!D13+'Бюджет 2019'!D14+'Бюджет 2019'!D15</f>
        <v>737</v>
      </c>
      <c r="C3" s="66">
        <f>'Бюджет 2019'!E13+'Бюджет 2019'!E14+'Бюджет 2019'!E15</f>
        <v>82070</v>
      </c>
      <c r="D3" s="66">
        <f>'Бюджет 2019'!F13+'Бюджет 2019'!F14+'Бюджет 2019'!F15</f>
        <v>620</v>
      </c>
      <c r="E3" s="66">
        <f>'Бюджет 2019'!G13+'Бюджет 2019'!G14+'Бюджет 2019'!G15</f>
        <v>92</v>
      </c>
      <c r="F3" s="66">
        <f>'Бюджет 2019'!H13+'Бюджет 2019'!H14+'Бюджет 2019'!H15</f>
        <v>0</v>
      </c>
      <c r="G3" s="66">
        <f>'Бюджет 2019'!I13+'Бюджет 2019'!I14+'Бюджет 2019'!I15</f>
        <v>88</v>
      </c>
      <c r="H3" s="66">
        <f>'Бюджет 2019'!J13+'Бюджет 2019'!J14+'Бюджет 2019'!J15</f>
        <v>0</v>
      </c>
      <c r="I3" s="66">
        <f>'Бюджет 2019'!K13+'Бюджет 2019'!K14+'Бюджет 2019'!K15</f>
        <v>324</v>
      </c>
      <c r="J3" s="66">
        <f>'Бюджет 2019'!L13+'Бюджет 2019'!L14+'Бюджет 2019'!L15</f>
        <v>0</v>
      </c>
      <c r="K3" s="66">
        <f>'Бюджет 2019'!M13+'Бюджет 2019'!M14+'Бюджет 2019'!M15</f>
        <v>247</v>
      </c>
      <c r="L3" s="66">
        <f>'Бюджет 2019'!N13+'Бюджет 2019'!N14+'Бюджет 2019'!N15</f>
        <v>0</v>
      </c>
      <c r="M3" s="66">
        <f>'Бюджет 2019'!O13+'Бюджет 2019'!O14+'Бюджет 2019'!Q15</f>
        <v>308</v>
      </c>
      <c r="N3" s="66">
        <f>'Бюджет 2019'!P13+'Бюджет 2019'!P14+'Бюджет 2019'!R15</f>
        <v>1787</v>
      </c>
      <c r="O3" t="str">
        <f>'Бюджет 2019'!Q13+'Бюджет 2019'!Q14+#REF!</f>
        <v>#REF!</v>
      </c>
      <c r="P3" t="str">
        <f>'Бюджет 2019'!R13+'Бюджет 2019'!R14+#REF!</f>
        <v>#REF!</v>
      </c>
      <c r="Q3" s="66">
        <f>'Бюджет 2019'!S13+'Бюджет 2019'!S14+'Бюджет 2019'!S15</f>
        <v>985</v>
      </c>
      <c r="R3" s="66">
        <f>'Бюджет 2019'!T13+'Бюджет 2019'!T14+'Бюджет 2019'!T15</f>
        <v>85</v>
      </c>
      <c r="S3" s="66">
        <f>'Бюджет 2019'!U13+'Бюджет 2019'!U14+'Бюджет 2019'!U15</f>
        <v>120</v>
      </c>
      <c r="T3" s="66">
        <f>'Бюджет 2019'!V13+'Бюджет 2019'!V14+'Бюджет 2019'!V15</f>
        <v>0</v>
      </c>
      <c r="U3" s="66">
        <f>'Бюджет 2019'!W13+'Бюджет 2019'!W14+'Бюджет 2019'!W15</f>
        <v>1063</v>
      </c>
      <c r="V3" s="66">
        <f>'Бюджет 2019'!X13+'Бюджет 2019'!X14+'Бюджет 2019'!X15</f>
        <v>158</v>
      </c>
      <c r="W3" s="66">
        <f>'Бюджет 2019'!Y13+'Бюджет 2019'!Y14+'Бюджет 2019'!Y15</f>
        <v>11603</v>
      </c>
      <c r="X3" s="66">
        <f>'Бюджет 2019'!Z13+'Бюджет 2019'!Z14+'Бюджет 2019'!Z15</f>
        <v>1081</v>
      </c>
      <c r="Y3" s="66">
        <f>'Бюджет 2019'!AA13+'Бюджет 2019'!AA14+'Бюджет 2019'!AA15</f>
        <v>1226</v>
      </c>
    </row>
    <row r="4">
      <c r="A4" s="63" t="s">
        <v>90</v>
      </c>
      <c r="B4" s="66">
        <f>'Бюджет 2019'!D22+'Бюджет 2019'!D23+'Бюджет 2019'!D24+'Бюджет 2019'!D19</f>
        <v>26000</v>
      </c>
      <c r="C4" s="66">
        <f>'Бюджет 2019'!E22+'Бюджет 2019'!E23+'Бюджет 2019'!E24+'Бюджет 2019'!E19</f>
        <v>125300</v>
      </c>
      <c r="D4" s="66">
        <f>'Бюджет 2019'!F22+'Бюджет 2019'!F23+'Бюджет 2019'!F24+'Бюджет 2019'!F19</f>
        <v>25300</v>
      </c>
      <c r="E4" s="66">
        <f>'Бюджет 2019'!G22+'Бюджет 2019'!G23+'Бюджет 2019'!G24+'Бюджет 2019'!G19</f>
        <v>46100</v>
      </c>
      <c r="F4" s="66">
        <f>'Бюджет 2019'!H22+'Бюджет 2019'!H23+'Бюджет 2019'!H24+'Бюджет 2019'!H19</f>
        <v>41300</v>
      </c>
      <c r="G4" s="66">
        <f>'Бюджет 2019'!I22+'Бюджет 2019'!I23+'Бюджет 2019'!I24+'Бюджет 2019'!I19</f>
        <v>35300</v>
      </c>
      <c r="H4" s="66">
        <f>'Бюджет 2019'!J22+'Бюджет 2019'!J23+'Бюджет 2019'!J24+'Бюджет 2019'!J19</f>
        <v>10100</v>
      </c>
      <c r="I4" s="66">
        <f>'Бюджет 2019'!K22+'Бюджет 2019'!K23+'Бюджет 2019'!K24+'Бюджет 2019'!K19</f>
        <v>50600</v>
      </c>
      <c r="J4" s="66">
        <f>'Бюджет 2019'!L22+'Бюджет 2019'!L23+'Бюджет 2019'!L24+'Бюджет 2019'!L19</f>
        <v>18000</v>
      </c>
      <c r="K4" s="66">
        <f>'Бюджет 2019'!M22+'Бюджет 2019'!M23+'Бюджет 2019'!M24+'Бюджет 2019'!M19</f>
        <v>45900</v>
      </c>
      <c r="L4" s="66">
        <f>'Бюджет 2019'!N22+'Бюджет 2019'!N23+'Бюджет 2019'!N24+'Бюджет 2019'!N19</f>
        <v>21800</v>
      </c>
      <c r="M4" s="66">
        <f>'Бюджет 2019'!O22+'Бюджет 2019'!O23+'Бюджет 2019'!O24+'Бюджет 2019'!O19</f>
        <v>72132</v>
      </c>
      <c r="N4" s="66">
        <f>'Бюджет 2019'!P22+'Бюджет 2019'!P23+'Бюджет 2019'!P24+'Бюджет 2019'!P19</f>
        <v>39600</v>
      </c>
      <c r="O4" s="66">
        <f>'Бюджет 2019'!Q22+'Бюджет 2019'!Q23+'Бюджет 2019'!Q24+'Бюджет 2019'!Q19</f>
        <v>55500</v>
      </c>
      <c r="P4" s="66">
        <f>'Бюджет 2019'!R22+'Бюджет 2019'!R23+'Бюджет 2019'!R24+'Бюджет 2019'!R19</f>
        <v>9200</v>
      </c>
      <c r="Q4" s="66">
        <f>'Бюджет 2019'!S22+'Бюджет 2019'!S23+'Бюджет 2019'!S24+'Бюджет 2019'!S19</f>
        <v>22000</v>
      </c>
      <c r="R4" s="66">
        <f>'Бюджет 2019'!T22+'Бюджет 2019'!T23+'Бюджет 2019'!T24+'Бюджет 2019'!T19</f>
        <v>4000</v>
      </c>
      <c r="S4" s="66">
        <f>'Бюджет 2019'!U22+'Бюджет 2019'!U23+'Бюджет 2019'!U24+'Бюджет 2019'!U19</f>
        <v>18100</v>
      </c>
      <c r="T4" s="66">
        <f>'Бюджет 2019'!V22+'Бюджет 2019'!V23+'Бюджет 2019'!V24+'Бюджет 2019'!V19</f>
        <v>33700</v>
      </c>
      <c r="U4" s="66">
        <f>'Бюджет 2019'!W22+'Бюджет 2019'!W23+'Бюджет 2019'!W24+'Бюджет 2019'!W19</f>
        <v>55200</v>
      </c>
      <c r="V4" s="66">
        <f>'Бюджет 2019'!X22+'Бюджет 2019'!X23+'Бюджет 2019'!X24+'Бюджет 2019'!X19</f>
        <v>22400</v>
      </c>
      <c r="W4" s="66">
        <f>'Бюджет 2019'!Y22+'Бюджет 2019'!Y23+'Бюджет 2019'!Y24+'Бюджет 2019'!Y19</f>
        <v>43600</v>
      </c>
      <c r="X4" s="66">
        <f>'Бюджет 2019'!Z22+'Бюджет 2019'!Z23+'Бюджет 2019'!Z24+'Бюджет 2019'!Z19</f>
        <v>18300</v>
      </c>
      <c r="Y4" s="66">
        <f>'Бюджет 2019'!AA22+'Бюджет 2019'!AA23+'Бюджет 2019'!AA24+'Бюджет 2019'!AA19</f>
        <v>32300</v>
      </c>
    </row>
    <row r="5">
      <c r="A5" s="63" t="s">
        <v>91</v>
      </c>
      <c r="B5" s="66">
        <f>'Бюджет 2019'!D28+'Бюджет 2019'!D31+'Бюджет 2019'!D32+'Бюджет 2019'!D33+'Бюджет 2019'!D27+'Бюджет 2019'!D21</f>
        <v>5796</v>
      </c>
      <c r="C5" s="66">
        <f>'Бюджет 2019'!E28+'Бюджет 2019'!E31+'Бюджет 2019'!E32+'Бюджет 2019'!E33+'Бюджет 2019'!E27+'Бюджет 2019'!E21</f>
        <v>12700</v>
      </c>
      <c r="D5" s="66">
        <f>'Бюджет 2019'!F28+'Бюджет 2019'!F31+'Бюджет 2019'!F32+'Бюджет 2019'!F33+'Бюджет 2019'!F27+'Бюджет 2019'!F21</f>
        <v>2200</v>
      </c>
      <c r="E5" s="66">
        <f>'Бюджет 2019'!G28+'Бюджет 2019'!G31+'Бюджет 2019'!G32+'Бюджет 2019'!G33+'Бюджет 2019'!G27+'Бюджет 2019'!G21</f>
        <v>4800</v>
      </c>
      <c r="F5" s="66">
        <f>'Бюджет 2019'!H28+'Бюджет 2019'!H31+'Бюджет 2019'!H32+'Бюджет 2019'!H33+'Бюджет 2019'!H27+'Бюджет 2019'!H21</f>
        <v>3700</v>
      </c>
      <c r="G5" s="66">
        <f>'Бюджет 2019'!I28+'Бюджет 2019'!I31+'Бюджет 2019'!I32+'Бюджет 2019'!I33+'Бюджет 2019'!I27+'Бюджет 2019'!I21</f>
        <v>3890</v>
      </c>
      <c r="H5" s="66">
        <f>'Бюджет 2019'!J28+'Бюджет 2019'!J31+'Бюджет 2019'!J32+'Бюджет 2019'!J33+'Бюджет 2019'!J27+'Бюджет 2019'!J21</f>
        <v>9830</v>
      </c>
      <c r="I5" s="66">
        <f>'Бюджет 2019'!K28+'Бюджет 2019'!K31+'Бюджет 2019'!K32+'Бюджет 2019'!K33+'Бюджет 2019'!K27+'Бюджет 2019'!K21</f>
        <v>5570</v>
      </c>
      <c r="J5" s="66">
        <f>'Бюджет 2019'!L28+'Бюджет 2019'!L31+'Бюджет 2019'!L32+'Бюджет 2019'!L33+'Бюджет 2019'!L27+'Бюджет 2019'!L21</f>
        <v>2700</v>
      </c>
      <c r="K5" s="66">
        <f>'Бюджет 2019'!M28+'Бюджет 2019'!M31+'Бюджет 2019'!M32+'Бюджет 2019'!M33+'Бюджет 2019'!M27+'Бюджет 2019'!M21</f>
        <v>21972</v>
      </c>
      <c r="L5" s="66">
        <f>'Бюджет 2019'!N28+'Бюджет 2019'!N31+'Бюджет 2019'!N32+'Бюджет 2019'!N33+'Бюджет 2019'!N27+'Бюджет 2019'!N21</f>
        <v>1500</v>
      </c>
      <c r="M5" s="66">
        <f>'Бюджет 2019'!O28+'Бюджет 2019'!O31+'Бюджет 2019'!O32+'Бюджет 2019'!O33+'Бюджет 2019'!O27+'Бюджет 2019'!O21</f>
        <v>1900</v>
      </c>
      <c r="N5" s="66">
        <f>'Бюджет 2019'!P28+'Бюджет 2019'!P31+'Бюджет 2019'!P32+'Бюджет 2019'!P33+'Бюджет 2019'!P27+'Бюджет 2019'!P21</f>
        <v>0</v>
      </c>
      <c r="O5" s="66">
        <f>'Бюджет 2019'!Q28+'Бюджет 2019'!Q31+'Бюджет 2019'!Q32+'Бюджет 2019'!Q33+'Бюджет 2019'!Q27+'Бюджет 2019'!Q21</f>
        <v>0</v>
      </c>
      <c r="P5" s="66">
        <f>'Бюджет 2019'!R28+'Бюджет 2019'!R31+'Бюджет 2019'!R32+'Бюджет 2019'!R33+'Бюджет 2019'!R27+'Бюджет 2019'!R21</f>
        <v>4550</v>
      </c>
      <c r="Q5" s="66">
        <f>'Бюджет 2019'!S28+'Бюджет 2019'!S31+'Бюджет 2019'!S32+'Бюджет 2019'!S33+'Бюджет 2019'!S27+'Бюджет 2019'!S21</f>
        <v>0</v>
      </c>
      <c r="R5" s="66">
        <f>'Бюджет 2019'!T28+'Бюджет 2019'!T31+'Бюджет 2019'!T32+'Бюджет 2019'!T33+'Бюджет 2019'!T27+'Бюджет 2019'!T21</f>
        <v>2900</v>
      </c>
      <c r="S5" s="66">
        <f>'Бюджет 2019'!U28+'Бюджет 2019'!U31+'Бюджет 2019'!U32+'Бюджет 2019'!U33+'Бюджет 2019'!U27+'Бюджет 2019'!U21</f>
        <v>5190</v>
      </c>
      <c r="T5" s="66">
        <f>'Бюджет 2019'!V28+'Бюджет 2019'!V31+'Бюджет 2019'!V32+'Бюджет 2019'!V33+'Бюджет 2019'!V27+'Бюджет 2019'!V21</f>
        <v>5250</v>
      </c>
      <c r="U5" s="66">
        <f>'Бюджет 2019'!W28+'Бюджет 2019'!W31+'Бюджет 2019'!W32+'Бюджет 2019'!W33+'Бюджет 2019'!W27+'Бюджет 2019'!W21</f>
        <v>5394</v>
      </c>
      <c r="V5" s="66">
        <f>'Бюджет 2019'!X28+'Бюджет 2019'!X31+'Бюджет 2019'!X32+'Бюджет 2019'!X33+'Бюджет 2019'!X27+'Бюджет 2019'!X21</f>
        <v>4700</v>
      </c>
      <c r="W5" s="66">
        <f>'Бюджет 2019'!Y28+'Бюджет 2019'!Y31+'Бюджет 2019'!Y32+'Бюджет 2019'!Y33+'Бюджет 2019'!Y27+'Бюджет 2019'!Y21</f>
        <v>5190</v>
      </c>
      <c r="X5" s="66">
        <f>'Бюджет 2019'!Z28+'Бюджет 2019'!Z31+'Бюджет 2019'!Z32+'Бюджет 2019'!Z33+'Бюджет 2019'!Z27+'Бюджет 2019'!Z21</f>
        <v>8395</v>
      </c>
      <c r="Y5" s="66">
        <f>'Бюджет 2019'!AA28+'Бюджет 2019'!AA31+'Бюджет 2019'!AA32+'Бюджет 2019'!AA33+'Бюджет 2019'!AA27+'Бюджет 2019'!AA21</f>
        <v>6630</v>
      </c>
    </row>
    <row r="6">
      <c r="A6" s="63" t="s">
        <v>92</v>
      </c>
      <c r="B6" s="66">
        <f>'Бюджет 2019'!D34+'Бюджет 2019'!D43+'Бюджет 2019'!D45</f>
        <v>21967</v>
      </c>
      <c r="C6" s="66">
        <f>'Бюджет 2019'!E34+'Бюджет 2019'!E43+'Бюджет 2019'!E45</f>
        <v>27372</v>
      </c>
      <c r="D6" s="66">
        <f>'Бюджет 2019'!F34+'Бюджет 2019'!F43+'Бюджет 2019'!F45</f>
        <v>23119</v>
      </c>
      <c r="E6" s="66">
        <f>'Бюджет 2019'!G34+'Бюджет 2019'!G43+'Бюджет 2019'!G45</f>
        <v>23695</v>
      </c>
      <c r="F6" s="66">
        <f>'Бюджет 2019'!H34+'Бюджет 2019'!H43+'Бюджет 2019'!H45</f>
        <v>12432</v>
      </c>
      <c r="G6" s="66">
        <f>'Бюджет 2019'!I34+'Бюджет 2019'!I43+'Бюджет 2019'!I45</f>
        <v>29881</v>
      </c>
      <c r="H6" s="66">
        <f>'Бюджет 2019'!J34+'Бюджет 2019'!J43+'Бюджет 2019'!J45</f>
        <v>21937</v>
      </c>
      <c r="I6" s="66">
        <f>'Бюджет 2019'!K34+'Бюджет 2019'!K43+'Бюджет 2019'!K45</f>
        <v>30692</v>
      </c>
      <c r="J6" s="66">
        <f>'Бюджет 2019'!L34+'Бюджет 2019'!L43+'Бюджет 2019'!L45</f>
        <v>18258</v>
      </c>
      <c r="K6" s="66">
        <f>'Бюджет 2019'!M34+'Бюджет 2019'!M43+'Бюджет 2019'!M45</f>
        <v>9656</v>
      </c>
      <c r="L6" s="66">
        <f>'Бюджет 2019'!N34+'Бюджет 2019'!N43+'Бюджет 2019'!N45</f>
        <v>39105</v>
      </c>
      <c r="M6" s="66">
        <f>'Бюджет 2019'!O34+'Бюджет 2019'!O43+'Бюджет 2019'!O45</f>
        <v>17218</v>
      </c>
      <c r="N6" s="66">
        <f>'Бюджет 2019'!P34+'Бюджет 2019'!P43+'Бюджет 2019'!P45</f>
        <v>20809</v>
      </c>
      <c r="O6" s="66">
        <f>'Бюджет 2019'!Q34+'Бюджет 2019'!Q43+'Бюджет 2019'!Q45</f>
        <v>29556</v>
      </c>
      <c r="P6" s="66">
        <f>'Бюджет 2019'!R34+'Бюджет 2019'!R43+'Бюджет 2019'!R45</f>
        <v>8254</v>
      </c>
      <c r="Q6" s="66">
        <f>'Бюджет 2019'!S34+'Бюджет 2019'!S43+'Бюджет 2019'!S45</f>
        <v>26546</v>
      </c>
      <c r="R6" s="66">
        <f>'Бюджет 2019'!T34+'Бюджет 2019'!T43+'Бюджет 2019'!T45</f>
        <v>20885</v>
      </c>
      <c r="S6" s="66">
        <f>'Бюджет 2019'!U34+'Бюджет 2019'!U43+'Бюджет 2019'!U45</f>
        <v>25752</v>
      </c>
      <c r="T6" s="66">
        <f>'Бюджет 2019'!V34+'Бюджет 2019'!V43+'Бюджет 2019'!V45</f>
        <v>22937</v>
      </c>
      <c r="U6" s="66">
        <f>'Бюджет 2019'!W34+'Бюджет 2019'!W43+'Бюджет 2019'!W45</f>
        <v>28237</v>
      </c>
      <c r="V6" s="66">
        <f>'Бюджет 2019'!X34+'Бюджет 2019'!X43+'Бюджет 2019'!X45</f>
        <v>13099</v>
      </c>
      <c r="W6" s="66">
        <f>'Бюджет 2019'!Y34+'Бюджет 2019'!Y43+'Бюджет 2019'!Y45</f>
        <v>26379</v>
      </c>
      <c r="X6" s="66">
        <f>'Бюджет 2019'!Z34+'Бюджет 2019'!Z43+'Бюджет 2019'!Z45</f>
        <v>23399</v>
      </c>
      <c r="Y6" s="66">
        <f>'Бюджет 2019'!AA34+'Бюджет 2019'!AA43+'Бюджет 2019'!AA45</f>
        <v>23127</v>
      </c>
    </row>
    <row r="7">
      <c r="A7" s="63" t="s">
        <v>93</v>
      </c>
      <c r="B7" s="66">
        <f>'Бюджет 2019'!D29+'Бюджет 2019'!D30</f>
        <v>0</v>
      </c>
      <c r="C7" s="66">
        <f>'Бюджет 2019'!E29+'Бюджет 2019'!E30</f>
        <v>2970</v>
      </c>
      <c r="D7" s="66">
        <f>'Бюджет 2019'!F29+'Бюджет 2019'!F30</f>
        <v>1000</v>
      </c>
      <c r="E7" s="66">
        <f>'Бюджет 2019'!G29+'Бюджет 2019'!G30</f>
        <v>4090</v>
      </c>
      <c r="F7" s="66">
        <f>'Бюджет 2019'!H29+'Бюджет 2019'!H30</f>
        <v>2550</v>
      </c>
      <c r="G7" s="66">
        <f>'Бюджет 2019'!I29+'Бюджет 2019'!I30</f>
        <v>3395</v>
      </c>
      <c r="H7" s="66">
        <f>'Бюджет 2019'!J29+'Бюджет 2019'!J30</f>
        <v>4350</v>
      </c>
      <c r="I7" s="66">
        <f>'Бюджет 2019'!K29+'Бюджет 2019'!K30</f>
        <v>3400</v>
      </c>
      <c r="J7" s="66">
        <f>'Бюджет 2019'!L29+'Бюджет 2019'!L30</f>
        <v>2375</v>
      </c>
      <c r="K7" s="66">
        <f>'Бюджет 2019'!M29+'Бюджет 2019'!M30</f>
        <v>3360</v>
      </c>
      <c r="L7" s="66">
        <f>'Бюджет 2019'!N29+'Бюджет 2019'!N30</f>
        <v>3700</v>
      </c>
      <c r="M7" s="66">
        <f>'Бюджет 2019'!O29+'Бюджет 2019'!O30</f>
        <v>1140</v>
      </c>
      <c r="N7" s="66">
        <f>'Бюджет 2019'!P29+'Бюджет 2019'!P30</f>
        <v>200</v>
      </c>
      <c r="O7" s="66">
        <f>'Бюджет 2019'!Q29+'Бюджет 2019'!Q30</f>
        <v>2960</v>
      </c>
      <c r="P7" s="66">
        <f>'Бюджет 2019'!R29+'Бюджет 2019'!R30</f>
        <v>350</v>
      </c>
      <c r="Q7" s="66">
        <f>'Бюджет 2019'!S29+'Бюджет 2019'!S30</f>
        <v>1800</v>
      </c>
      <c r="R7" s="66">
        <f>'Бюджет 2019'!T29+'Бюджет 2019'!T30</f>
        <v>1520</v>
      </c>
      <c r="S7" s="66">
        <f>'Бюджет 2019'!U29+'Бюджет 2019'!U30</f>
        <v>1600</v>
      </c>
      <c r="T7" s="66">
        <f>'Бюджет 2019'!V29+'Бюджет 2019'!V30</f>
        <v>300</v>
      </c>
      <c r="U7" s="66">
        <f>'Бюджет 2019'!W29+'Бюджет 2019'!W30</f>
        <v>1674</v>
      </c>
      <c r="V7" s="66">
        <f>'Бюджет 2019'!X29+'Бюджет 2019'!X30</f>
        <v>1700</v>
      </c>
      <c r="W7" s="66">
        <f>'Бюджет 2019'!Y29+'Бюджет 2019'!Y30</f>
        <v>6821</v>
      </c>
      <c r="X7" s="66">
        <f>'Бюджет 2019'!Z29+'Бюджет 2019'!Z30</f>
        <v>4200</v>
      </c>
      <c r="Y7" s="66">
        <f>'Бюджет 2019'!AA29+'Бюджет 2019'!AA30</f>
        <v>1600</v>
      </c>
    </row>
    <row r="8">
      <c r="A8" s="63" t="s">
        <v>94</v>
      </c>
      <c r="B8" s="66">
        <f>'Бюджет 2019'!D36+'Бюджет 2019'!D37+'Бюджет 2019'!D38+'Бюджет 2019'!D40+'Бюджет 2019'!D41</f>
        <v>2803</v>
      </c>
      <c r="C8" s="66">
        <f>'Бюджет 2019'!E36+'Бюджет 2019'!E37+'Бюджет 2019'!E38+'Бюджет 2019'!E40+'Бюджет 2019'!E41</f>
        <v>625</v>
      </c>
      <c r="D8" s="66">
        <f>'Бюджет 2019'!F36+'Бюджет 2019'!F37+'Бюджет 2019'!F38+'Бюджет 2019'!F40+'Бюджет 2019'!F41</f>
        <v>5940</v>
      </c>
      <c r="E8" s="66">
        <f>'Бюджет 2019'!G36+'Бюджет 2019'!G37+'Бюджет 2019'!G38+'Бюджет 2019'!G40+'Бюджет 2019'!G41</f>
        <v>4404</v>
      </c>
      <c r="F8" s="66">
        <f>'Бюджет 2019'!H36+'Бюджет 2019'!H37+'Бюджет 2019'!H38+'Бюджет 2019'!H40+'Бюджет 2019'!H41</f>
        <v>13287</v>
      </c>
      <c r="G8" s="66">
        <f>'Бюджет 2019'!I36+'Бюджет 2019'!I37+'Бюджет 2019'!I38+'Бюджет 2019'!I40+'Бюджет 2019'!I41</f>
        <v>5400</v>
      </c>
      <c r="H8" s="66">
        <f>'Бюджет 2019'!J36+'Бюджет 2019'!J37+'Бюджет 2019'!J38+'Бюджет 2019'!J40+'Бюджет 2019'!J41</f>
        <v>28643</v>
      </c>
      <c r="I8" s="66">
        <f>'Бюджет 2019'!K36+'Бюджет 2019'!K37+'Бюджет 2019'!K38+'Бюджет 2019'!K40+'Бюджет 2019'!K41</f>
        <v>20304</v>
      </c>
      <c r="J8" s="66">
        <f>'Бюджет 2019'!L36+'Бюджет 2019'!L37+'Бюджет 2019'!L38+'Бюджет 2019'!L40+'Бюджет 2019'!L41</f>
        <v>24284</v>
      </c>
      <c r="K8" s="66">
        <f>'Бюджет 2019'!M36+'Бюджет 2019'!M37+'Бюджет 2019'!M38+'Бюджет 2019'!M40+'Бюджет 2019'!M41</f>
        <v>3941</v>
      </c>
      <c r="L8" s="66">
        <f>'Бюджет 2019'!N36+'Бюджет 2019'!N37+'Бюджет 2019'!N38+'Бюджет 2019'!N40+'Бюджет 2019'!N41</f>
        <v>7222</v>
      </c>
      <c r="M8" s="66">
        <f>'Бюджет 2019'!O36+'Бюджет 2019'!O37+'Бюджет 2019'!O38+'Бюджет 2019'!O40+'Бюджет 2019'!O41</f>
        <v>4287</v>
      </c>
      <c r="N8" s="66">
        <f>'Бюджет 2019'!P36+'Бюджет 2019'!P37+'Бюджет 2019'!P38+'Бюджет 2019'!P40+'Бюджет 2019'!P41</f>
        <v>24602</v>
      </c>
      <c r="O8" s="66">
        <f>'Бюджет 2019'!Q36+'Бюджет 2019'!Q37+'Бюджет 2019'!Q38+'Бюджет 2019'!Q40+'Бюджет 2019'!Q41</f>
        <v>17652</v>
      </c>
      <c r="P8" s="66">
        <f>'Бюджет 2019'!R36+'Бюджет 2019'!R37+'Бюджет 2019'!R38+'Бюджет 2019'!R40+'Бюджет 2019'!R41</f>
        <v>800</v>
      </c>
      <c r="Q8" s="66">
        <f>'Бюджет 2019'!S36+'Бюджет 2019'!S37+'Бюджет 2019'!S38+'Бюджет 2019'!S40+'Бюджет 2019'!S41</f>
        <v>6761</v>
      </c>
      <c r="R8" s="66">
        <f>'Бюджет 2019'!T36+'Бюджет 2019'!T37+'Бюджет 2019'!T38+'Бюджет 2019'!T40+'Бюджет 2019'!T41</f>
        <v>38101</v>
      </c>
      <c r="S8" s="66">
        <f>'Бюджет 2019'!U36+'Бюджет 2019'!U37+'Бюджет 2019'!U38+'Бюджет 2019'!U40+'Бюджет 2019'!U41</f>
        <v>98</v>
      </c>
      <c r="T8" s="66">
        <f>'Бюджет 2019'!V36+'Бюджет 2019'!V37+'Бюджет 2019'!V38+'Бюджет 2019'!V40+'Бюджет 2019'!V41</f>
        <v>2670</v>
      </c>
      <c r="U8" s="66">
        <f>'Бюджет 2019'!W36+'Бюджет 2019'!W37+'Бюджет 2019'!W38+'Бюджет 2019'!W40+'Бюджет 2019'!W41</f>
        <v>530</v>
      </c>
      <c r="V8" s="66">
        <f>'Бюджет 2019'!X36+'Бюджет 2019'!X37+'Бюджет 2019'!X38+'Бюджет 2019'!X40+'Бюджет 2019'!X41</f>
        <v>7261</v>
      </c>
      <c r="W8" s="66">
        <f>'Бюджет 2019'!Y36+'Бюджет 2019'!Y37+'Бюджет 2019'!Y38+'Бюджет 2019'!Y40+'Бюджет 2019'!Y41</f>
        <v>13020</v>
      </c>
      <c r="X8" s="66">
        <f>'Бюджет 2019'!Z36+'Бюджет 2019'!Z37+'Бюджет 2019'!Z38+'Бюджет 2019'!Z40+'Бюджет 2019'!Z41</f>
        <v>7214</v>
      </c>
      <c r="Y8" s="66">
        <f>'Бюджет 2019'!AA36+'Бюджет 2019'!AA37+'Бюджет 2019'!AA38+'Бюджет 2019'!AA40+'Бюджет 2019'!AA41</f>
        <v>4265</v>
      </c>
    </row>
    <row r="9">
      <c r="A9" s="63" t="s">
        <v>73</v>
      </c>
      <c r="B9" s="66" t="str">
        <f>'Бюджет 2019'!D46</f>
        <v/>
      </c>
      <c r="C9" s="66" t="str">
        <f>'Бюджет 2019'!E46</f>
        <v/>
      </c>
      <c r="D9" s="66">
        <f>'Бюджет 2019'!F46</f>
        <v>4200</v>
      </c>
      <c r="E9" s="66">
        <f>'Бюджет 2019'!G46</f>
        <v>1500</v>
      </c>
      <c r="F9" s="66" t="str">
        <f>'Бюджет 2019'!H46</f>
        <v/>
      </c>
      <c r="G9" s="66">
        <f>'Бюджет 2019'!I46</f>
        <v>144903</v>
      </c>
      <c r="H9" s="66">
        <f>'Бюджет 2019'!J46</f>
        <v>18000</v>
      </c>
      <c r="I9" s="66" t="str">
        <f>'Бюджет 2019'!K46</f>
        <v/>
      </c>
      <c r="J9" s="66">
        <f>'Бюджет 2019'!L46</f>
        <v>35932</v>
      </c>
      <c r="K9" s="66" t="str">
        <f>'Бюджет 2019'!M46</f>
        <v/>
      </c>
      <c r="L9" s="66">
        <f>'Бюджет 2019'!N46</f>
        <v>21600</v>
      </c>
      <c r="M9" s="66" t="str">
        <f>'Бюджет 2019'!O46</f>
        <v/>
      </c>
      <c r="N9" s="66" t="str">
        <f>'Бюджет 2019'!P46</f>
        <v/>
      </c>
      <c r="O9" s="66">
        <f>'Бюджет 2019'!Q46</f>
        <v>29125</v>
      </c>
      <c r="P9" s="66">
        <f>'Бюджет 2019'!R46</f>
        <v>24977</v>
      </c>
      <c r="Q9" s="66" t="str">
        <f>'Бюджет 2019'!S46</f>
        <v/>
      </c>
      <c r="R9" s="66" t="str">
        <f>'Бюджет 2019'!T46</f>
        <v/>
      </c>
      <c r="S9" s="66" t="str">
        <f>'Бюджет 2019'!U46</f>
        <v/>
      </c>
      <c r="T9" s="66" t="str">
        <f>'Бюджет 2019'!V46</f>
        <v/>
      </c>
      <c r="U9" s="66" t="str">
        <f>'Бюджет 2019'!W46</f>
        <v/>
      </c>
      <c r="V9" s="66">
        <f>'Бюджет 2019'!X46</f>
        <v>2806</v>
      </c>
      <c r="W9" s="66">
        <f>'Бюджет 2019'!Y46</f>
        <v>17813</v>
      </c>
      <c r="X9" s="66" t="str">
        <f>'Бюджет 2019'!Z46</f>
        <v/>
      </c>
      <c r="Y9" s="66" t="str">
        <f>'Бюджет 2019'!AA46</f>
        <v/>
      </c>
    </row>
    <row r="12">
      <c r="A12" s="63" t="s">
        <v>35</v>
      </c>
      <c r="H12" s="63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7" max="7" width="16.0"/>
  </cols>
  <sheetData>
    <row r="1">
      <c r="A1" s="68" t="s">
        <v>97</v>
      </c>
      <c r="B1" s="68" t="s">
        <v>98</v>
      </c>
      <c r="C1" s="68" t="s">
        <v>99</v>
      </c>
      <c r="D1" s="68" t="s">
        <v>100</v>
      </c>
      <c r="E1" s="68" t="s">
        <v>101</v>
      </c>
      <c r="F1" s="63" t="s">
        <v>102</v>
      </c>
      <c r="G1" s="63" t="s">
        <v>103</v>
      </c>
      <c r="H1" s="63" t="s">
        <v>104</v>
      </c>
      <c r="I1" s="63" t="s">
        <v>105</v>
      </c>
      <c r="J1" s="63" t="s">
        <v>106</v>
      </c>
      <c r="K1" s="63" t="s">
        <v>107</v>
      </c>
      <c r="L1" s="63" t="s">
        <v>108</v>
      </c>
      <c r="M1" s="63" t="s">
        <v>109</v>
      </c>
      <c r="N1" s="63" t="s">
        <v>110</v>
      </c>
      <c r="O1" s="63" t="s">
        <v>111</v>
      </c>
      <c r="P1" s="63" t="s">
        <v>112</v>
      </c>
      <c r="Q1" s="63" t="s">
        <v>113</v>
      </c>
    </row>
    <row r="2">
      <c r="A2" s="68" t="s">
        <v>114</v>
      </c>
      <c r="B2" s="68" t="s">
        <v>115</v>
      </c>
      <c r="C2" s="68" t="s">
        <v>116</v>
      </c>
      <c r="D2" s="69">
        <v>0.15</v>
      </c>
      <c r="E2" s="69">
        <v>0.15</v>
      </c>
      <c r="F2" s="69">
        <v>0.05</v>
      </c>
      <c r="G2" s="70">
        <f>1208/F2</f>
        <v>24160</v>
      </c>
      <c r="H2" s="63">
        <v>1012.0</v>
      </c>
      <c r="I2" s="63">
        <v>1231.0</v>
      </c>
      <c r="J2" s="71">
        <f t="shared" ref="J2:J6" si="2">(I2/H2-1)/2.7</f>
        <v>0.08014931928</v>
      </c>
      <c r="K2" s="56" t="s">
        <v>117</v>
      </c>
      <c r="L2" s="56" t="s">
        <v>118</v>
      </c>
      <c r="M2" s="56" t="s">
        <v>119</v>
      </c>
      <c r="N2" s="72" t="s">
        <v>120</v>
      </c>
      <c r="O2" s="73">
        <f t="shared" ref="O2:Q2" si="1">$J2*D2</f>
        <v>0.01202239789</v>
      </c>
      <c r="P2" s="73">
        <f t="shared" si="1"/>
        <v>0.01202239789</v>
      </c>
      <c r="Q2" s="73">
        <f t="shared" si="1"/>
        <v>0.004007465964</v>
      </c>
      <c r="R2" s="73"/>
    </row>
    <row r="3">
      <c r="A3" s="68" t="s">
        <v>121</v>
      </c>
      <c r="B3" s="68" t="s">
        <v>122</v>
      </c>
      <c r="C3" s="68" t="s">
        <v>123</v>
      </c>
      <c r="D3" s="74">
        <v>0.185</v>
      </c>
      <c r="E3" s="69">
        <v>0.22</v>
      </c>
      <c r="F3" s="69">
        <v>0.1</v>
      </c>
      <c r="G3" s="70">
        <f>2490/F3</f>
        <v>24900</v>
      </c>
      <c r="H3" s="63">
        <v>30.0</v>
      </c>
      <c r="I3" s="63">
        <v>36.7</v>
      </c>
      <c r="J3" s="71">
        <f t="shared" si="2"/>
        <v>0.08271604938</v>
      </c>
      <c r="K3" s="56" t="s">
        <v>124</v>
      </c>
      <c r="L3" s="75">
        <v>0.84</v>
      </c>
      <c r="M3" s="56" t="s">
        <v>125</v>
      </c>
      <c r="N3" s="72" t="s">
        <v>126</v>
      </c>
      <c r="O3" s="73">
        <f t="shared" ref="O3:Q3" si="3">$J3*D3</f>
        <v>0.01530246914</v>
      </c>
      <c r="P3" s="73">
        <f t="shared" si="3"/>
        <v>0.01819753086</v>
      </c>
      <c r="Q3" s="73">
        <f t="shared" si="3"/>
        <v>0.008271604938</v>
      </c>
    </row>
    <row r="4">
      <c r="A4" s="68" t="s">
        <v>127</v>
      </c>
      <c r="B4" s="68" t="s">
        <v>128</v>
      </c>
      <c r="C4" s="68" t="s">
        <v>129</v>
      </c>
      <c r="D4" s="69">
        <v>0.05</v>
      </c>
      <c r="E4" s="69">
        <v>0.13</v>
      </c>
      <c r="F4" s="69">
        <v>0.2</v>
      </c>
      <c r="G4" s="70">
        <f>2890/F4</f>
        <v>14450</v>
      </c>
      <c r="H4" s="63">
        <v>30.0</v>
      </c>
      <c r="I4" s="63">
        <v>42.0</v>
      </c>
      <c r="J4" s="71">
        <f t="shared" si="2"/>
        <v>0.1481481481</v>
      </c>
      <c r="K4" s="56" t="s">
        <v>130</v>
      </c>
      <c r="L4" s="56" t="s">
        <v>131</v>
      </c>
      <c r="M4" s="75"/>
      <c r="N4" s="72" t="s">
        <v>132</v>
      </c>
      <c r="O4" s="73">
        <f t="shared" ref="O4:Q4" si="4">$J4*D4</f>
        <v>0.007407407407</v>
      </c>
      <c r="P4" s="73">
        <f t="shared" si="4"/>
        <v>0.01925925926</v>
      </c>
      <c r="Q4" s="73">
        <f t="shared" si="4"/>
        <v>0.02962962963</v>
      </c>
    </row>
    <row r="5">
      <c r="A5" s="68" t="s">
        <v>133</v>
      </c>
      <c r="B5" s="68" t="s">
        <v>134</v>
      </c>
      <c r="C5" s="68" t="s">
        <v>135</v>
      </c>
      <c r="D5" s="69">
        <v>0.15</v>
      </c>
      <c r="E5" s="69">
        <v>0.084</v>
      </c>
      <c r="F5" s="69">
        <v>0.05</v>
      </c>
      <c r="G5" s="70">
        <f>542/F5</f>
        <v>10840</v>
      </c>
      <c r="H5" s="63">
        <v>10.0</v>
      </c>
      <c r="I5" s="63">
        <v>9.16</v>
      </c>
      <c r="J5" s="71">
        <f t="shared" si="2"/>
        <v>-0.03111111111</v>
      </c>
      <c r="K5" s="56" t="s">
        <v>136</v>
      </c>
      <c r="L5" s="56" t="s">
        <v>137</v>
      </c>
      <c r="M5" s="56" t="s">
        <v>138</v>
      </c>
      <c r="N5" s="72" t="s">
        <v>126</v>
      </c>
      <c r="O5" s="73">
        <f t="shared" ref="O5:Q5" si="5">$J5*D5</f>
        <v>-0.004666666667</v>
      </c>
      <c r="P5" s="73">
        <f t="shared" si="5"/>
        <v>-0.002613333333</v>
      </c>
      <c r="Q5" s="73">
        <f t="shared" si="5"/>
        <v>-0.001555555556</v>
      </c>
    </row>
    <row r="6">
      <c r="A6" s="68" t="s">
        <v>139</v>
      </c>
      <c r="B6" s="68" t="s">
        <v>140</v>
      </c>
      <c r="C6" s="68" t="s">
        <v>141</v>
      </c>
      <c r="D6" s="74">
        <v>0.115</v>
      </c>
      <c r="E6" s="69">
        <v>0.066</v>
      </c>
      <c r="F6" s="69">
        <v>0.05</v>
      </c>
      <c r="G6" s="70">
        <f>2006/F6</f>
        <v>40120</v>
      </c>
      <c r="H6" s="63">
        <v>30.0</v>
      </c>
      <c r="I6" s="63">
        <v>31.83</v>
      </c>
      <c r="J6" s="71">
        <f t="shared" si="2"/>
        <v>0.02259259259</v>
      </c>
      <c r="K6" s="56" t="s">
        <v>142</v>
      </c>
      <c r="L6" s="56" t="s">
        <v>143</v>
      </c>
      <c r="M6" s="56" t="s">
        <v>144</v>
      </c>
      <c r="N6" s="72" t="s">
        <v>126</v>
      </c>
      <c r="O6" s="73">
        <f t="shared" ref="O6:Q6" si="6">$J6*D6</f>
        <v>0.002598148148</v>
      </c>
      <c r="P6" s="73">
        <f t="shared" si="6"/>
        <v>0.001491111111</v>
      </c>
      <c r="Q6" s="73">
        <f t="shared" si="6"/>
        <v>0.00112962963</v>
      </c>
    </row>
    <row r="7">
      <c r="A7" s="68" t="s">
        <v>145</v>
      </c>
      <c r="B7" s="68" t="s">
        <v>146</v>
      </c>
      <c r="C7" s="68" t="s">
        <v>147</v>
      </c>
      <c r="D7" s="69">
        <v>0.05</v>
      </c>
      <c r="E7" s="69">
        <v>0.05</v>
      </c>
      <c r="F7" s="69">
        <v>0.08</v>
      </c>
      <c r="G7" s="70">
        <f>1819/F7</f>
        <v>22737.5</v>
      </c>
      <c r="H7" s="63">
        <v>20.0</v>
      </c>
      <c r="I7" s="63">
        <v>26.75</v>
      </c>
      <c r="J7" s="71">
        <f>(I7/H7-1)/((11-3)/12)</f>
        <v>0.50625</v>
      </c>
      <c r="K7" s="56" t="s">
        <v>148</v>
      </c>
      <c r="L7" s="56" t="s">
        <v>149</v>
      </c>
      <c r="M7" s="56" t="s">
        <v>150</v>
      </c>
      <c r="N7" s="72" t="s">
        <v>126</v>
      </c>
      <c r="O7" s="73">
        <f t="shared" ref="O7:Q7" si="7">$J7*D7</f>
        <v>0.0253125</v>
      </c>
      <c r="P7" s="73">
        <f t="shared" si="7"/>
        <v>0.0253125</v>
      </c>
      <c r="Q7" s="73">
        <f t="shared" si="7"/>
        <v>0.0405</v>
      </c>
    </row>
    <row r="8">
      <c r="A8" s="68" t="s">
        <v>151</v>
      </c>
      <c r="B8" s="68" t="s">
        <v>152</v>
      </c>
      <c r="C8" s="68" t="s">
        <v>153</v>
      </c>
      <c r="D8" s="69">
        <v>0.05</v>
      </c>
      <c r="E8" s="69">
        <v>0.05</v>
      </c>
      <c r="F8" s="69">
        <v>0.05</v>
      </c>
      <c r="G8" s="70">
        <f>1915/F8</f>
        <v>38300</v>
      </c>
      <c r="H8" s="63">
        <v>30.0</v>
      </c>
      <c r="I8" s="63">
        <v>29.85</v>
      </c>
      <c r="J8" s="71">
        <f>(I8/H8-1)/2</f>
        <v>-0.0025</v>
      </c>
      <c r="K8" s="56" t="s">
        <v>154</v>
      </c>
      <c r="L8" s="56" t="s">
        <v>155</v>
      </c>
      <c r="M8" s="56" t="s">
        <v>156</v>
      </c>
      <c r="N8" s="72" t="s">
        <v>126</v>
      </c>
      <c r="O8" s="73">
        <f t="shared" ref="O8:Q8" si="8">$J8*D8</f>
        <v>-0.000125</v>
      </c>
      <c r="P8" s="73">
        <f t="shared" si="8"/>
        <v>-0.000125</v>
      </c>
      <c r="Q8" s="73">
        <f t="shared" si="8"/>
        <v>-0.000125</v>
      </c>
    </row>
    <row r="9">
      <c r="A9" s="68" t="s">
        <v>157</v>
      </c>
      <c r="B9" s="68" t="s">
        <v>158</v>
      </c>
      <c r="C9" s="68" t="s">
        <v>159</v>
      </c>
      <c r="D9" s="69">
        <v>0.05</v>
      </c>
      <c r="E9" s="69">
        <v>0.05</v>
      </c>
      <c r="F9" s="69">
        <v>0.05</v>
      </c>
      <c r="G9" s="70">
        <f>1607/F9</f>
        <v>32140</v>
      </c>
      <c r="H9" s="63">
        <v>30.0</v>
      </c>
      <c r="I9" s="63">
        <v>24.58</v>
      </c>
      <c r="J9" s="71">
        <f>(I9/H9-1)/2.7</f>
        <v>-0.06691358025</v>
      </c>
      <c r="K9" s="56" t="s">
        <v>160</v>
      </c>
      <c r="L9" s="56" t="s">
        <v>161</v>
      </c>
      <c r="M9" s="56" t="s">
        <v>162</v>
      </c>
      <c r="N9" s="72" t="s">
        <v>126</v>
      </c>
      <c r="O9" s="73">
        <f t="shared" ref="O9:Q9" si="9">$J9*D9</f>
        <v>-0.003345679012</v>
      </c>
      <c r="P9" s="73">
        <f t="shared" si="9"/>
        <v>-0.003345679012</v>
      </c>
      <c r="Q9" s="73">
        <f t="shared" si="9"/>
        <v>-0.003345679012</v>
      </c>
    </row>
    <row r="10">
      <c r="A10" s="68" t="s">
        <v>163</v>
      </c>
      <c r="B10" s="68" t="s">
        <v>164</v>
      </c>
      <c r="C10" s="68" t="s">
        <v>165</v>
      </c>
      <c r="D10" s="69">
        <v>0.05</v>
      </c>
      <c r="E10" s="69">
        <v>0.05</v>
      </c>
      <c r="F10" s="69">
        <v>0.18</v>
      </c>
      <c r="G10" s="70">
        <f>1652/F10</f>
        <v>9177.777778</v>
      </c>
      <c r="H10" s="63">
        <v>19.0</v>
      </c>
      <c r="I10" s="63">
        <v>20.42</v>
      </c>
      <c r="J10" s="71">
        <f t="shared" ref="J10:J12" si="11">(I10/H10-1)/2.2</f>
        <v>0.03397129187</v>
      </c>
      <c r="K10" s="56" t="s">
        <v>166</v>
      </c>
      <c r="L10" s="56" t="s">
        <v>167</v>
      </c>
      <c r="M10" s="56" t="s">
        <v>168</v>
      </c>
      <c r="N10" s="72" t="s">
        <v>126</v>
      </c>
      <c r="O10" s="73">
        <f t="shared" ref="O10:Q10" si="10">$J10*D10</f>
        <v>0.001698564593</v>
      </c>
      <c r="P10" s="73">
        <f t="shared" si="10"/>
        <v>0.001698564593</v>
      </c>
      <c r="Q10" s="73">
        <f t="shared" si="10"/>
        <v>0.006114832536</v>
      </c>
    </row>
    <row r="11">
      <c r="A11" s="68" t="s">
        <v>169</v>
      </c>
      <c r="B11" s="68" t="s">
        <v>170</v>
      </c>
      <c r="C11" s="68" t="s">
        <v>171</v>
      </c>
      <c r="D11" s="69">
        <v>0.05</v>
      </c>
      <c r="E11" s="69">
        <v>0.05</v>
      </c>
      <c r="F11" s="69">
        <v>0.14</v>
      </c>
      <c r="G11" s="70">
        <f>1752/F11</f>
        <v>12514.28571</v>
      </c>
      <c r="H11" s="63">
        <v>22.0</v>
      </c>
      <c r="I11" s="63">
        <v>24.87</v>
      </c>
      <c r="J11" s="71">
        <f t="shared" si="11"/>
        <v>0.05929752066</v>
      </c>
      <c r="K11" s="56" t="s">
        <v>172</v>
      </c>
      <c r="L11" s="56" t="s">
        <v>173</v>
      </c>
      <c r="M11" s="56" t="s">
        <v>174</v>
      </c>
      <c r="N11" s="72" t="s">
        <v>126</v>
      </c>
      <c r="O11" s="73">
        <f t="shared" ref="O11:Q11" si="12">$J11*D11</f>
        <v>0.002964876033</v>
      </c>
      <c r="P11" s="73">
        <f t="shared" si="12"/>
        <v>0.002964876033</v>
      </c>
      <c r="Q11" s="73">
        <f t="shared" si="12"/>
        <v>0.008301652893</v>
      </c>
    </row>
    <row r="12">
      <c r="A12" s="68" t="s">
        <v>175</v>
      </c>
      <c r="B12" s="68"/>
      <c r="C12" s="68" t="s">
        <v>176</v>
      </c>
      <c r="D12" s="69">
        <v>0.1</v>
      </c>
      <c r="E12" s="69">
        <v>0.1</v>
      </c>
      <c r="F12" s="69">
        <v>0.05</v>
      </c>
      <c r="G12" s="70">
        <f>1290/F12</f>
        <v>25800</v>
      </c>
      <c r="H12" s="63">
        <v>1000.0</v>
      </c>
      <c r="I12" s="63">
        <v>1284.0</v>
      </c>
      <c r="J12" s="71">
        <f t="shared" si="11"/>
        <v>0.1290909091</v>
      </c>
      <c r="K12" s="56" t="s">
        <v>177</v>
      </c>
      <c r="L12" s="75">
        <v>0.33</v>
      </c>
      <c r="M12" s="75"/>
      <c r="N12" s="72" t="s">
        <v>120</v>
      </c>
      <c r="O12" s="73">
        <f t="shared" ref="O12:Q12" si="13">$J12*D12</f>
        <v>0.01290909091</v>
      </c>
      <c r="P12" s="73">
        <f t="shared" si="13"/>
        <v>0.01290909091</v>
      </c>
      <c r="Q12" s="73">
        <f t="shared" si="13"/>
        <v>0.006454545455</v>
      </c>
    </row>
    <row r="13">
      <c r="A13" s="68"/>
      <c r="B13" s="68"/>
      <c r="C13" s="68"/>
      <c r="D13" s="68"/>
      <c r="E13" s="68"/>
      <c r="F13" s="68" t="s">
        <v>178</v>
      </c>
      <c r="G13" s="70">
        <f>MAX(G2:G12)</f>
        <v>40120</v>
      </c>
      <c r="H13" s="63"/>
      <c r="I13" s="63"/>
      <c r="J13" s="71"/>
      <c r="K13" s="63"/>
      <c r="L13" s="63"/>
      <c r="M13" s="63"/>
      <c r="N13" s="63" t="s">
        <v>179</v>
      </c>
      <c r="O13" s="76">
        <f t="shared" ref="O13:Q13" si="14">SUM(O2:O12)</f>
        <v>0.07207810844</v>
      </c>
      <c r="P13" s="76">
        <f t="shared" si="14"/>
        <v>0.08777131832</v>
      </c>
      <c r="Q13" s="76">
        <f t="shared" si="14"/>
        <v>0.09938312648</v>
      </c>
    </row>
  </sheetData>
  <drawing r:id="rId1"/>
</worksheet>
</file>