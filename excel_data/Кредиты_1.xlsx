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Книги\Экономика\Таблицы\"/>
    </mc:Choice>
  </mc:AlternateContent>
  <xr:revisionPtr revIDLastSave="0" documentId="13_ncr:1_{B3159B1D-89B5-4C8B-8A8C-442A391DFA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Андре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AD37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15" i="1"/>
  <c r="S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43" i="1"/>
  <c r="R43" i="1"/>
  <c r="AC37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AA15" i="1"/>
  <c r="Z15" i="1"/>
  <c r="W15" i="1"/>
  <c r="X15" i="1" s="1"/>
  <c r="V16" i="1" s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15" i="1"/>
  <c r="Q15" i="1"/>
  <c r="R15" i="1" s="1"/>
  <c r="O16" i="1" s="1"/>
  <c r="Q16" i="1" s="1"/>
  <c r="O9" i="1"/>
  <c r="C3" i="1"/>
  <c r="C7" i="1" s="1"/>
  <c r="C8" i="1" s="1"/>
  <c r="C9" i="1" s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4" i="1"/>
  <c r="H14" i="1"/>
  <c r="G14" i="1"/>
  <c r="C14" i="1"/>
  <c r="B14" i="1"/>
  <c r="A15" i="1"/>
  <c r="C15" i="1" s="1"/>
  <c r="D7" i="1"/>
  <c r="D8" i="1" s="1"/>
  <c r="D9" i="1" s="1"/>
  <c r="B7" i="1"/>
  <c r="B8" i="1" s="1"/>
  <c r="G15" i="1" l="1"/>
  <c r="H15" i="1"/>
  <c r="L14" i="1"/>
  <c r="I15" i="1"/>
  <c r="M15" i="1" s="1"/>
  <c r="E14" i="1"/>
  <c r="J14" i="1"/>
  <c r="I14" i="1"/>
  <c r="M14" i="1" s="1"/>
  <c r="W16" i="1"/>
  <c r="V17" i="1"/>
  <c r="J15" i="1"/>
  <c r="A16" i="1"/>
  <c r="B15" i="1"/>
  <c r="D15" i="1" s="1"/>
  <c r="D14" i="1"/>
  <c r="R16" i="1"/>
  <c r="G8" i="1"/>
  <c r="E8" i="1"/>
  <c r="B9" i="1"/>
  <c r="E9" i="1" s="1"/>
  <c r="E7" i="1"/>
  <c r="G7" i="1" s="1"/>
  <c r="E15" i="1" l="1"/>
  <c r="A17" i="1"/>
  <c r="C16" i="1"/>
  <c r="B16" i="1"/>
  <c r="H16" i="1"/>
  <c r="G16" i="1"/>
  <c r="O17" i="1"/>
  <c r="W17" i="1" s="1"/>
  <c r="V18" i="1" s="1"/>
  <c r="S16" i="1"/>
  <c r="Q17" i="1"/>
  <c r="G9" i="1"/>
  <c r="I16" i="1" l="1"/>
  <c r="M16" i="1" s="1"/>
  <c r="J16" i="1"/>
  <c r="D16" i="1"/>
  <c r="E16" i="1"/>
  <c r="A18" i="1"/>
  <c r="C17" i="1"/>
  <c r="H17" i="1"/>
  <c r="B17" i="1"/>
  <c r="G17" i="1"/>
  <c r="R17" i="1"/>
  <c r="J17" i="1" l="1"/>
  <c r="D17" i="1"/>
  <c r="I17" i="1"/>
  <c r="M17" i="1" s="1"/>
  <c r="A19" i="1"/>
  <c r="C18" i="1"/>
  <c r="B18" i="1"/>
  <c r="E18" i="1" s="1"/>
  <c r="G18" i="1"/>
  <c r="H18" i="1"/>
  <c r="E17" i="1"/>
  <c r="O18" i="1"/>
  <c r="S17" i="1"/>
  <c r="Q18" i="1"/>
  <c r="R18" i="1"/>
  <c r="I18" i="1" l="1"/>
  <c r="M18" i="1" s="1"/>
  <c r="W18" i="1"/>
  <c r="V19" i="1" s="1"/>
  <c r="D18" i="1"/>
  <c r="A20" i="1"/>
  <c r="H19" i="1"/>
  <c r="G19" i="1"/>
  <c r="J19" i="1" s="1"/>
  <c r="C19" i="1"/>
  <c r="B19" i="1"/>
  <c r="E19" i="1"/>
  <c r="J18" i="1"/>
  <c r="O19" i="1"/>
  <c r="S18" i="1"/>
  <c r="W19" i="1" l="1"/>
  <c r="V20" i="1" s="1"/>
  <c r="I19" i="1"/>
  <c r="M19" i="1" s="1"/>
  <c r="Q19" i="1"/>
  <c r="R19" i="1" s="1"/>
  <c r="D19" i="1"/>
  <c r="A21" i="1"/>
  <c r="C20" i="1"/>
  <c r="H20" i="1"/>
  <c r="G20" i="1"/>
  <c r="B20" i="1"/>
  <c r="E20" i="1" s="1"/>
  <c r="O20" i="1"/>
  <c r="S19" i="1"/>
  <c r="Q20" i="1"/>
  <c r="R20" i="1" s="1"/>
  <c r="W20" i="1" l="1"/>
  <c r="V21" i="1" s="1"/>
  <c r="I20" i="1"/>
  <c r="M20" i="1" s="1"/>
  <c r="D20" i="1"/>
  <c r="A22" i="1"/>
  <c r="H21" i="1"/>
  <c r="G21" i="1"/>
  <c r="J21" i="1" s="1"/>
  <c r="C21" i="1"/>
  <c r="B21" i="1"/>
  <c r="J20" i="1"/>
  <c r="O21" i="1"/>
  <c r="S20" i="1"/>
  <c r="D21" i="1" l="1"/>
  <c r="E21" i="1"/>
  <c r="W21" i="1"/>
  <c r="V22" i="1" s="1"/>
  <c r="I21" i="1"/>
  <c r="M21" i="1" s="1"/>
  <c r="A23" i="1"/>
  <c r="G22" i="1"/>
  <c r="C22" i="1"/>
  <c r="B22" i="1"/>
  <c r="D22" i="1" s="1"/>
  <c r="H22" i="1"/>
  <c r="Q21" i="1"/>
  <c r="R21" i="1" s="1"/>
  <c r="O22" i="1" s="1"/>
  <c r="S21" i="1" l="1"/>
  <c r="W22" i="1"/>
  <c r="V23" i="1" s="1"/>
  <c r="Q22" i="1"/>
  <c r="R22" i="1" s="1"/>
  <c r="A24" i="1"/>
  <c r="G23" i="1"/>
  <c r="H23" i="1"/>
  <c r="C23" i="1"/>
  <c r="B23" i="1"/>
  <c r="I22" i="1"/>
  <c r="M22" i="1" s="1"/>
  <c r="J22" i="1"/>
  <c r="E22" i="1"/>
  <c r="O23" i="1"/>
  <c r="S22" i="1"/>
  <c r="Q23" i="1"/>
  <c r="R23" i="1" s="1"/>
  <c r="W23" i="1" l="1"/>
  <c r="V24" i="1" s="1"/>
  <c r="I23" i="1"/>
  <c r="M23" i="1" s="1"/>
  <c r="J23" i="1"/>
  <c r="A25" i="1"/>
  <c r="G24" i="1"/>
  <c r="H24" i="1"/>
  <c r="B24" i="1"/>
  <c r="C24" i="1"/>
  <c r="D23" i="1"/>
  <c r="E23" i="1"/>
  <c r="O24" i="1"/>
  <c r="Q24" i="1" s="1"/>
  <c r="R24" i="1" s="1"/>
  <c r="S23" i="1"/>
  <c r="I24" i="1" l="1"/>
  <c r="M24" i="1" s="1"/>
  <c r="J24" i="1"/>
  <c r="W24" i="1"/>
  <c r="V25" i="1" s="1"/>
  <c r="A26" i="1"/>
  <c r="H25" i="1"/>
  <c r="C25" i="1"/>
  <c r="G25" i="1"/>
  <c r="B25" i="1"/>
  <c r="D24" i="1"/>
  <c r="E24" i="1"/>
  <c r="O25" i="1"/>
  <c r="S24" i="1"/>
  <c r="Q25" i="1"/>
  <c r="R25" i="1" s="1"/>
  <c r="W25" i="1" l="1"/>
  <c r="V26" i="1" s="1"/>
  <c r="I25" i="1"/>
  <c r="M25" i="1" s="1"/>
  <c r="J25" i="1"/>
  <c r="D25" i="1"/>
  <c r="E25" i="1"/>
  <c r="A27" i="1"/>
  <c r="H26" i="1"/>
  <c r="G26" i="1"/>
  <c r="C26" i="1"/>
  <c r="B26" i="1"/>
  <c r="O26" i="1"/>
  <c r="Q26" i="1" s="1"/>
  <c r="R26" i="1" s="1"/>
  <c r="S25" i="1"/>
  <c r="W26" i="1" l="1"/>
  <c r="V27" i="1" s="1"/>
  <c r="I26" i="1"/>
  <c r="M26" i="1" s="1"/>
  <c r="J26" i="1"/>
  <c r="A28" i="1"/>
  <c r="G27" i="1"/>
  <c r="B27" i="1"/>
  <c r="H27" i="1"/>
  <c r="C27" i="1"/>
  <c r="D26" i="1"/>
  <c r="E26" i="1"/>
  <c r="O27" i="1"/>
  <c r="S26" i="1"/>
  <c r="Q27" i="1" l="1"/>
  <c r="R27" i="1" s="1"/>
  <c r="W27" i="1"/>
  <c r="V28" i="1" s="1"/>
  <c r="D27" i="1"/>
  <c r="E27" i="1"/>
  <c r="A29" i="1"/>
  <c r="H28" i="1"/>
  <c r="B28" i="1"/>
  <c r="C28" i="1"/>
  <c r="G28" i="1"/>
  <c r="I27" i="1"/>
  <c r="M27" i="1" s="1"/>
  <c r="J27" i="1"/>
  <c r="O28" i="1"/>
  <c r="S27" i="1"/>
  <c r="Q28" i="1"/>
  <c r="R28" i="1" s="1"/>
  <c r="W28" i="1" l="1"/>
  <c r="V29" i="1" s="1"/>
  <c r="D28" i="1"/>
  <c r="E28" i="1"/>
  <c r="A30" i="1"/>
  <c r="G29" i="1"/>
  <c r="H29" i="1"/>
  <c r="C29" i="1"/>
  <c r="B29" i="1"/>
  <c r="I28" i="1"/>
  <c r="M28" i="1" s="1"/>
  <c r="J28" i="1"/>
  <c r="O29" i="1"/>
  <c r="S28" i="1"/>
  <c r="D29" i="1" l="1"/>
  <c r="E29" i="1"/>
  <c r="Q29" i="1"/>
  <c r="R29" i="1" s="1"/>
  <c r="W29" i="1"/>
  <c r="V30" i="1" s="1"/>
  <c r="I29" i="1"/>
  <c r="M29" i="1" s="1"/>
  <c r="J29" i="1"/>
  <c r="A31" i="1"/>
  <c r="B30" i="1"/>
  <c r="G30" i="1"/>
  <c r="H30" i="1"/>
  <c r="C30" i="1"/>
  <c r="O30" i="1"/>
  <c r="S29" i="1"/>
  <c r="Q30" i="1"/>
  <c r="R30" i="1" s="1"/>
  <c r="W30" i="1" l="1"/>
  <c r="V31" i="1" s="1"/>
  <c r="D30" i="1"/>
  <c r="E30" i="1"/>
  <c r="I30" i="1"/>
  <c r="M30" i="1" s="1"/>
  <c r="J30" i="1"/>
  <c r="A32" i="1"/>
  <c r="H31" i="1"/>
  <c r="G31" i="1"/>
  <c r="B31" i="1"/>
  <c r="C31" i="1"/>
  <c r="O31" i="1"/>
  <c r="Q31" i="1" s="1"/>
  <c r="R31" i="1" s="1"/>
  <c r="S30" i="1"/>
  <c r="W31" i="1" l="1"/>
  <c r="V32" i="1" s="1"/>
  <c r="I31" i="1"/>
  <c r="M31" i="1" s="1"/>
  <c r="J31" i="1"/>
  <c r="A33" i="1"/>
  <c r="C32" i="1"/>
  <c r="G32" i="1"/>
  <c r="H32" i="1"/>
  <c r="B32" i="1"/>
  <c r="D31" i="1"/>
  <c r="E31" i="1"/>
  <c r="O32" i="1"/>
  <c r="S31" i="1"/>
  <c r="Q32" i="1"/>
  <c r="R32" i="1"/>
  <c r="D32" i="1" l="1"/>
  <c r="E32" i="1"/>
  <c r="W32" i="1"/>
  <c r="V33" i="1"/>
  <c r="I32" i="1"/>
  <c r="M32" i="1" s="1"/>
  <c r="J32" i="1"/>
  <c r="A34" i="1"/>
  <c r="G33" i="1"/>
  <c r="H33" i="1"/>
  <c r="C33" i="1"/>
  <c r="B33" i="1"/>
  <c r="O33" i="1"/>
  <c r="S32" i="1"/>
  <c r="Q33" i="1"/>
  <c r="R33" i="1" s="1"/>
  <c r="W33" i="1" l="1"/>
  <c r="V34" i="1"/>
  <c r="D33" i="1"/>
  <c r="E33" i="1"/>
  <c r="A35" i="1"/>
  <c r="B34" i="1"/>
  <c r="C34" i="1"/>
  <c r="G34" i="1"/>
  <c r="H34" i="1"/>
  <c r="I33" i="1"/>
  <c r="M33" i="1" s="1"/>
  <c r="J33" i="1"/>
  <c r="O34" i="1"/>
  <c r="Q34" i="1" s="1"/>
  <c r="R34" i="1" s="1"/>
  <c r="S33" i="1"/>
  <c r="I34" i="1" l="1"/>
  <c r="M34" i="1" s="1"/>
  <c r="J34" i="1"/>
  <c r="W34" i="1"/>
  <c r="V35" i="1"/>
  <c r="D34" i="1"/>
  <c r="E34" i="1"/>
  <c r="A36" i="1"/>
  <c r="B35" i="1"/>
  <c r="H35" i="1"/>
  <c r="G35" i="1"/>
  <c r="C35" i="1"/>
  <c r="O35" i="1"/>
  <c r="S34" i="1"/>
  <c r="Q35" i="1"/>
  <c r="R35" i="1"/>
  <c r="W35" i="1" l="1"/>
  <c r="V36" i="1"/>
  <c r="I35" i="1"/>
  <c r="M35" i="1" s="1"/>
  <c r="J35" i="1"/>
  <c r="D35" i="1"/>
  <c r="E35" i="1"/>
  <c r="A37" i="1"/>
  <c r="B36" i="1"/>
  <c r="H36" i="1"/>
  <c r="G36" i="1"/>
  <c r="C36" i="1"/>
  <c r="O36" i="1"/>
  <c r="S35" i="1"/>
  <c r="Q36" i="1"/>
  <c r="R36" i="1" s="1"/>
  <c r="I36" i="1" l="1"/>
  <c r="M36" i="1" s="1"/>
  <c r="J36" i="1"/>
  <c r="W36" i="1"/>
  <c r="V37" i="1"/>
  <c r="D36" i="1"/>
  <c r="E36" i="1"/>
  <c r="A38" i="1"/>
  <c r="C37" i="1"/>
  <c r="B37" i="1"/>
  <c r="H37" i="1"/>
  <c r="G37" i="1"/>
  <c r="O37" i="1"/>
  <c r="S36" i="1"/>
  <c r="Q37" i="1" l="1"/>
  <c r="R37" i="1" s="1"/>
  <c r="W37" i="1"/>
  <c r="I37" i="1"/>
  <c r="M37" i="1" s="1"/>
  <c r="M43" i="1" s="1"/>
  <c r="P43" i="1" s="1"/>
  <c r="J37" i="1"/>
  <c r="A39" i="1"/>
  <c r="C38" i="1"/>
  <c r="B38" i="1"/>
  <c r="D37" i="1"/>
  <c r="E37" i="1"/>
  <c r="O38" i="1"/>
  <c r="S37" i="1"/>
  <c r="Q38" i="1"/>
  <c r="R38" i="1" s="1"/>
  <c r="S38" i="1" s="1"/>
  <c r="D38" i="1" l="1"/>
  <c r="E38" i="1"/>
  <c r="A40" i="1"/>
  <c r="C39" i="1"/>
  <c r="B39" i="1"/>
  <c r="D39" i="1" l="1"/>
  <c r="E39" i="1"/>
  <c r="C40" i="1"/>
  <c r="B40" i="1"/>
  <c r="D40" i="1" l="1"/>
  <c r="E40" i="1"/>
</calcChain>
</file>

<file path=xl/sharedStrings.xml><?xml version="1.0" encoding="utf-8"?>
<sst xmlns="http://schemas.openxmlformats.org/spreadsheetml/2006/main" count="42" uniqueCount="31">
  <si>
    <t>Ипотека</t>
  </si>
  <si>
    <t>Кредитная карта Тинькофф</t>
  </si>
  <si>
    <t>Кредитная карта Яндекс</t>
  </si>
  <si>
    <t>Cумма кредита</t>
  </si>
  <si>
    <t>Годовая ставка</t>
  </si>
  <si>
    <t>Срок кредита</t>
  </si>
  <si>
    <t>Сумма ежемес.выплат</t>
  </si>
  <si>
    <t>Общая сумма переплат</t>
  </si>
  <si>
    <t>Переплата</t>
  </si>
  <si>
    <t>Общая сумма ежемесячной оплаты</t>
  </si>
  <si>
    <t>Зарплата</t>
  </si>
  <si>
    <t>Результат</t>
  </si>
  <si>
    <t>Период</t>
  </si>
  <si>
    <t>Выплата кредита</t>
  </si>
  <si>
    <t>Выплата процентов</t>
  </si>
  <si>
    <t>Общая выплата</t>
  </si>
  <si>
    <t>Осталось выплатить</t>
  </si>
  <si>
    <t>Сальдо</t>
  </si>
  <si>
    <t>Минимальная зарплата</t>
  </si>
  <si>
    <t>Сумма инвестиций</t>
  </si>
  <si>
    <t>Накопительный счет</t>
  </si>
  <si>
    <t>Капитализация</t>
  </si>
  <si>
    <t>Сумма на начало</t>
  </si>
  <si>
    <t>Сумма на конец</t>
  </si>
  <si>
    <t>Начальная сумма по вкладу</t>
  </si>
  <si>
    <t>Проценты</t>
  </si>
  <si>
    <t>Остаток</t>
  </si>
  <si>
    <t>Нагрузка</t>
  </si>
  <si>
    <t>ПДН</t>
  </si>
  <si>
    <t>Инвестиции</t>
  </si>
  <si>
    <t>Осталось выплатиить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</si>
</sst>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Сальдо</a:t>
            </a:r>
          </a:p>
        </c:rich>
      </c:tx>
      <c:layout>
        <c:manualLayout>
          <c:xMode val="edge"/>
          <c:yMode val="edge"/>
          <c:x val="0.41811789151356077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Андрей!$L$14:$L$40</c:f>
              <c:numCache>
                <c:formatCode>"₽"#,##0.00_);[Red]\("₽"#,##0.00\)</c:formatCode>
                <c:ptCount val="27"/>
                <c:pt idx="0">
                  <c:v>28560.975700002968</c:v>
                </c:pt>
                <c:pt idx="1">
                  <c:v>28551.418384695593</c:v>
                </c:pt>
                <c:pt idx="2">
                  <c:v>28370.637338097011</c:v>
                </c:pt>
                <c:pt idx="3">
                  <c:v>28186.925174672208</c:v>
                </c:pt>
                <c:pt idx="4">
                  <c:v>28000.233711329111</c:v>
                </c:pt>
                <c:pt idx="5">
                  <c:v>27810.513967386443</c:v>
                </c:pt>
                <c:pt idx="6">
                  <c:v>27617.716151325156</c:v>
                </c:pt>
                <c:pt idx="7">
                  <c:v>27421.789647319452</c:v>
                </c:pt>
                <c:pt idx="8">
                  <c:v>27222.683001543683</c:v>
                </c:pt>
                <c:pt idx="9">
                  <c:v>27020.343908251365</c:v>
                </c:pt>
                <c:pt idx="10">
                  <c:v>26814.719195622642</c:v>
                </c:pt>
                <c:pt idx="11">
                  <c:v>26605.754811376119</c:v>
                </c:pt>
                <c:pt idx="12">
                  <c:v>26393.395808141409</c:v>
                </c:pt>
                <c:pt idx="13">
                  <c:v>26177.586328588153</c:v>
                </c:pt>
                <c:pt idx="14">
                  <c:v>25958.269590307664</c:v>
                </c:pt>
                <c:pt idx="15">
                  <c:v>25735.387870442926</c:v>
                </c:pt>
                <c:pt idx="16">
                  <c:v>25508.882490062864</c:v>
                </c:pt>
                <c:pt idx="17">
                  <c:v>25278.693798276559</c:v>
                </c:pt>
                <c:pt idx="18">
                  <c:v>25044.761156083077</c:v>
                </c:pt>
                <c:pt idx="19">
                  <c:v>24807.022919952582</c:v>
                </c:pt>
                <c:pt idx="20">
                  <c:v>24565.416425134157</c:v>
                </c:pt>
                <c:pt idx="21">
                  <c:v>24319.877968685854</c:v>
                </c:pt>
                <c:pt idx="22">
                  <c:v>24070.342792222338</c:v>
                </c:pt>
                <c:pt idx="23">
                  <c:v>23816.745064375351</c:v>
                </c:pt>
                <c:pt idx="24">
                  <c:v>38577.451429819703</c:v>
                </c:pt>
                <c:pt idx="25">
                  <c:v>38565.833949829896</c:v>
                </c:pt>
                <c:pt idx="26">
                  <c:v>38554.121593753509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1-4C97-99B6-555FD8C7B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703328"/>
        <c:axId val="1441703744"/>
      </c:lineChart>
      <c:catAx>
        <c:axId val="14417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1703744"/>
        <c:crosses val="autoZero"/>
        <c:auto val="1"/>
        <c:lblAlgn val="ctr"/>
        <c:lblOffset val="100"/>
        <c:noMultiLvlLbl val="0"/>
      </c:catAx>
      <c:valAx>
        <c:axId val="14417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17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layout>
        <c:manualLayout>
          <c:xMode val="edge"/>
          <c:yMode val="edge"/>
          <c:x val="0.303902668416447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Андрей!$S$15:$S$38</c:f>
              <c:numCache>
                <c:formatCode>General</c:formatCode>
                <c:ptCount val="24"/>
                <c:pt idx="0">
                  <c:v>439997.41666666669</c:v>
                </c:pt>
                <c:pt idx="1">
                  <c:v>419197.36499999999</c:v>
                </c:pt>
                <c:pt idx="2">
                  <c:v>399189.51132631249</c:v>
                </c:pt>
                <c:pt idx="3">
                  <c:v>377573.30155283876</c:v>
                </c:pt>
                <c:pt idx="4">
                  <c:v>357560.07143762265</c:v>
                </c:pt>
                <c:pt idx="5">
                  <c:v>337544.25628018333</c:v>
                </c:pt>
                <c:pt idx="6">
                  <c:v>317525.85574661952</c:v>
                </c:pt>
                <c:pt idx="7">
                  <c:v>297504.86950298678</c:v>
                </c:pt>
                <c:pt idx="8">
                  <c:v>277481.29721529759</c:v>
                </c:pt>
                <c:pt idx="9">
                  <c:v>257455.13854952122</c:v>
                </c:pt>
                <c:pt idx="10">
                  <c:v>237426.39317158386</c:v>
                </c:pt>
                <c:pt idx="11">
                  <c:v>217395.06074736852</c:v>
                </c:pt>
                <c:pt idx="12">
                  <c:v>197361.14094271505</c:v>
                </c:pt>
                <c:pt idx="13">
                  <c:v>177324.63342342013</c:v>
                </c:pt>
                <c:pt idx="14">
                  <c:v>157285.53785523731</c:v>
                </c:pt>
                <c:pt idx="15">
                  <c:v>137243.85390387697</c:v>
                </c:pt>
                <c:pt idx="16">
                  <c:v>117199.58123500622</c:v>
                </c:pt>
                <c:pt idx="17">
                  <c:v>97152.719514249067</c:v>
                </c:pt>
                <c:pt idx="18">
                  <c:v>77103.268407186319</c:v>
                </c:pt>
                <c:pt idx="19">
                  <c:v>57051.227579355589</c:v>
                </c:pt>
                <c:pt idx="20">
                  <c:v>36996.596696251247</c:v>
                </c:pt>
                <c:pt idx="21">
                  <c:v>16939.375423324527</c:v>
                </c:pt>
                <c:pt idx="22">
                  <c:v>-3120.4365740166395</c:v>
                </c:pt>
                <c:pt idx="23">
                  <c:v>-3180.2562970741419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4-4E0E-9CCA-E22C9EE6B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5727"/>
        <c:axId val="111742815"/>
      </c:lineChart>
      <c:catAx>
        <c:axId val="1117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42815"/>
        <c:crosses val="autoZero"/>
        <c:auto val="1"/>
        <c:lblAlgn val="ctr"/>
        <c:lblOffset val="100"/>
        <c:noMultiLvlLbl val="0"/>
      </c:catAx>
      <c:valAx>
        <c:axId val="1117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4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Модель</a:t>
            </a:r>
            <a:r>
              <a:rPr lang="ru-RU" baseline="0"/>
              <a:t> кризиса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Андрей!$AD$15:$AD$37</c:f>
              <c:numCache>
                <c:formatCode>General</c:formatCode>
                <c:ptCount val="23"/>
                <c:pt idx="0">
                  <c:v>439996.66666666669</c:v>
                </c:pt>
                <c:pt idx="1">
                  <c:v>419197.36499999999</c:v>
                </c:pt>
                <c:pt idx="2">
                  <c:v>397981.31229999999</c:v>
                </c:pt>
                <c:pt idx="3">
                  <c:v>377573.30155283876</c:v>
                </c:pt>
                <c:pt idx="4">
                  <c:v>355524.76758389553</c:v>
                </c:pt>
                <c:pt idx="5">
                  <c:v>335111.2728663751</c:v>
                </c:pt>
                <c:pt idx="6">
                  <c:v>314695.14140578697</c:v>
                </c:pt>
                <c:pt idx="7">
                  <c:v>294276.37286155194</c:v>
                </c:pt>
                <c:pt idx="8">
                  <c:v>273854.96689304651</c:v>
                </c:pt>
                <c:pt idx="9">
                  <c:v>253430.92315960352</c:v>
                </c:pt>
                <c:pt idx="10">
                  <c:v>233004.24132051165</c:v>
                </c:pt>
                <c:pt idx="11">
                  <c:v>212574.92103501552</c:v>
                </c:pt>
                <c:pt idx="12">
                  <c:v>192142.96196231584</c:v>
                </c:pt>
                <c:pt idx="13">
                  <c:v>171708.36376156937</c:v>
                </c:pt>
                <c:pt idx="14">
                  <c:v>151271.12609188852</c:v>
                </c:pt>
                <c:pt idx="15">
                  <c:v>130831.24861234205</c:v>
                </c:pt>
                <c:pt idx="16">
                  <c:v>110388.73098195449</c:v>
                </c:pt>
                <c:pt idx="17">
                  <c:v>89943.572859706357</c:v>
                </c:pt>
                <c:pt idx="18">
                  <c:v>69495.773904534057</c:v>
                </c:pt>
                <c:pt idx="19">
                  <c:v>49045.333775330044</c:v>
                </c:pt>
                <c:pt idx="20">
                  <c:v>28592.25213094271</c:v>
                </c:pt>
                <c:pt idx="21">
                  <c:v>8136.5286301762681</c:v>
                </c:pt>
                <c:pt idx="22">
                  <c:v>-12321.837068208959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3-4BEB-9F9F-3BF5682AD7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Андрей!$S$15:$S$38</c:f>
              <c:numCache>
                <c:formatCode>General</c:formatCode>
                <c:ptCount val="24"/>
                <c:pt idx="0">
                  <c:v>439997.41666666669</c:v>
                </c:pt>
                <c:pt idx="1">
                  <c:v>419197.36499999999</c:v>
                </c:pt>
                <c:pt idx="2">
                  <c:v>399189.51132631249</c:v>
                </c:pt>
                <c:pt idx="3">
                  <c:v>377573.30155283876</c:v>
                </c:pt>
                <c:pt idx="4">
                  <c:v>357560.07143762265</c:v>
                </c:pt>
                <c:pt idx="5">
                  <c:v>337544.25628018333</c:v>
                </c:pt>
                <c:pt idx="6">
                  <c:v>317525.85574661952</c:v>
                </c:pt>
                <c:pt idx="7">
                  <c:v>297504.86950298678</c:v>
                </c:pt>
                <c:pt idx="8">
                  <c:v>277481.29721529759</c:v>
                </c:pt>
                <c:pt idx="9">
                  <c:v>257455.13854952122</c:v>
                </c:pt>
                <c:pt idx="10">
                  <c:v>237426.39317158386</c:v>
                </c:pt>
                <c:pt idx="11">
                  <c:v>217395.06074736852</c:v>
                </c:pt>
                <c:pt idx="12">
                  <c:v>197361.14094271505</c:v>
                </c:pt>
                <c:pt idx="13">
                  <c:v>177324.63342342013</c:v>
                </c:pt>
                <c:pt idx="14">
                  <c:v>157285.53785523731</c:v>
                </c:pt>
                <c:pt idx="15">
                  <c:v>137243.85390387697</c:v>
                </c:pt>
                <c:pt idx="16">
                  <c:v>117199.58123500622</c:v>
                </c:pt>
                <c:pt idx="17">
                  <c:v>97152.719514249067</c:v>
                </c:pt>
                <c:pt idx="18">
                  <c:v>77103.268407186319</c:v>
                </c:pt>
                <c:pt idx="19">
                  <c:v>57051.227579355589</c:v>
                </c:pt>
                <c:pt idx="20">
                  <c:v>36996.596696251247</c:v>
                </c:pt>
                <c:pt idx="21">
                  <c:v>16939.375423324527</c:v>
                </c:pt>
                <c:pt idx="22">
                  <c:v>-3120.4365740166395</c:v>
                </c:pt>
                <c:pt idx="23">
                  <c:v>-3180.2562970741419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3-4BEB-9F9F-3BF5682AD72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Андрей!$AF$15:$AF$36</c:f>
              <c:numCache>
                <c:formatCode>General</c:formatCode>
                <c:ptCount val="22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3-4BEB-9F9F-3BF5682A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387823"/>
        <c:axId val="1376386575"/>
      </c:lineChart>
      <c:catAx>
        <c:axId val="1376387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6386575"/>
        <c:crosses val="autoZero"/>
        <c:auto val="1"/>
        <c:lblAlgn val="ctr"/>
        <c:lblOffset val="100"/>
        <c:noMultiLvlLbl val="0"/>
      </c:catAx>
      <c:valAx>
        <c:axId val="13763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63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838200</xdr:colOff>
      <xdr:row>24</xdr:row>
      <xdr:rowOff>90486</xdr:rowOff>
    </xdr:from>
    <xdr:to>
      <xdr:col>12</xdr:col>
      <xdr:colOff>76200</xdr:colOff>
      <xdr:row>35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2B752C-8152-40A5-9C13-D474E9792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0</xdr:row>
      <xdr:rowOff>71437</xdr:rowOff>
    </xdr:from>
    <xdr:to>
      <xdr:col>23</xdr:col>
      <xdr:colOff>257175</xdr:colOff>
      <xdr:row>12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69AEDA-61A5-41B8-8FCF-6988AC0DB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200025</xdr:colOff>
      <xdr:row>19</xdr:row>
      <xdr:rowOff>119061</xdr:rowOff>
    </xdr:from>
    <xdr:to>
      <xdr:col>22</xdr:col>
      <xdr:colOff>238125</xdr:colOff>
      <xdr:row>42</xdr:row>
      <xdr:rowOff>9524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1D807D6-5FFB-496D-BDF2-96DB36309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tabSelected="1" topLeftCell="D1" workbookViewId="0">
      <selection activeCell="AF15" activeCellId="2" sqref="AD15:AD37 S15:S38 AF15:AF36"/>
    </sheetView>
  </sheetViews>
  <sheetFormatPr defaultRowHeight="15" x14ac:dyDescent="0.25"/>
  <cols>
    <col min="1" max="1" width="13.140625" customWidth="1"/>
    <col min="2" max="2" width="19.85546875" customWidth="1"/>
    <col min="3" max="3" width="22.140625" customWidth="1"/>
    <col min="4" max="4" width="17.140625" customWidth="1"/>
    <col min="5" max="5" width="12.28515625" bestFit="1" customWidth="1"/>
    <col min="6" max="6" width="13.140625" bestFit="1" customWidth="1"/>
    <col min="7" max="7" width="18.85546875" customWidth="1"/>
    <col min="8" max="8" width="22.5703125" customWidth="1"/>
    <col min="9" max="9" width="26.85546875" customWidth="1"/>
    <col min="10" max="10" width="11.5703125" bestFit="1" customWidth="1"/>
    <col min="12" max="12" width="10.5703125" bestFit="1" customWidth="1"/>
    <col min="13" max="13" width="12.28515625" bestFit="1" customWidth="1"/>
    <col min="15" max="15" width="19" customWidth="1"/>
    <col min="16" max="16" width="20.140625" customWidth="1"/>
  </cols>
  <sheetData>
    <row r="1" spans="1:32" x14ac:dyDescent="0.25">
      <c r="B1" s="1" t="s">
        <v>1</v>
      </c>
      <c r="C1" t="s">
        <v>2</v>
      </c>
      <c r="D1" t="s">
        <v>0</v>
      </c>
      <c r="E1" t="s">
        <v>9</v>
      </c>
      <c r="F1" t="s">
        <v>10</v>
      </c>
      <c r="G1" t="s">
        <v>11</v>
      </c>
      <c r="K1" t="s">
        <v>10</v>
      </c>
      <c r="L1" t="s">
        <v>17</v>
      </c>
      <c r="M1" t="s">
        <v>18</v>
      </c>
      <c r="O1" t="s">
        <v>20</v>
      </c>
      <c r="P1" t="s">
        <v>29</v>
      </c>
      <c r="S1" t="s">
        <v>26</v>
      </c>
    </row>
    <row r="2" spans="1:32" x14ac:dyDescent="0.25">
      <c r="O2" s="3"/>
    </row>
    <row r="3" spans="1:32" x14ac:dyDescent="0.25">
      <c r="A3" t="s">
        <v>3</v>
      </c>
      <c r="B3">
        <v>300000</v>
      </c>
      <c r="C3">
        <f>99000-38875</f>
        <v>60125</v>
      </c>
      <c r="D3">
        <v>237000</v>
      </c>
      <c r="O3">
        <v>460000</v>
      </c>
    </row>
    <row r="4" spans="1:32" x14ac:dyDescent="0.25">
      <c r="A4" t="s">
        <v>4</v>
      </c>
      <c r="B4" s="2">
        <v>0.2</v>
      </c>
      <c r="C4" s="3">
        <v>0.2</v>
      </c>
      <c r="D4" s="2">
        <v>9.8000000000000004E-2</v>
      </c>
      <c r="O4" s="2">
        <v>0.155</v>
      </c>
      <c r="P4" s="3">
        <v>0.2</v>
      </c>
    </row>
    <row r="5" spans="1:32" x14ac:dyDescent="0.25">
      <c r="A5" t="s">
        <v>5</v>
      </c>
      <c r="B5">
        <v>24</v>
      </c>
      <c r="C5">
        <v>24</v>
      </c>
      <c r="D5">
        <v>120</v>
      </c>
      <c r="O5">
        <v>24</v>
      </c>
      <c r="P5">
        <v>24</v>
      </c>
    </row>
    <row r="7" spans="1:32" x14ac:dyDescent="0.25">
      <c r="A7" t="s">
        <v>6</v>
      </c>
      <c r="B7" s="1">
        <f>PMT(B4/12,B5,B3,0,0)</f>
        <v>-15268.740792971666</v>
      </c>
      <c r="C7" s="1">
        <f>PMT(C4/12,C5,C3,0,0)</f>
        <v>-3060.1101339247384</v>
      </c>
      <c r="D7" s="1">
        <f>PMT(D4/12,D5,D3,0,0)</f>
        <v>-3105.7835070253695</v>
      </c>
      <c r="E7" s="1">
        <f>SUM(B7:D7)</f>
        <v>-21434.634433921776</v>
      </c>
      <c r="F7">
        <v>50000</v>
      </c>
      <c r="G7" s="1">
        <f>F7+E7</f>
        <v>28565.365566078224</v>
      </c>
    </row>
    <row r="8" spans="1:32" x14ac:dyDescent="0.25">
      <c r="A8" t="s">
        <v>7</v>
      </c>
      <c r="B8" s="1">
        <f xml:space="preserve"> B7*B5</f>
        <v>-366449.77903132001</v>
      </c>
      <c r="C8" s="1">
        <f xml:space="preserve"> C7*C5</f>
        <v>-73442.643214193726</v>
      </c>
      <c r="D8" s="1">
        <f xml:space="preserve"> D7*D5</f>
        <v>-372694.02084304433</v>
      </c>
      <c r="E8" s="1">
        <f>SUM(B8:D8)</f>
        <v>-812586.44308855804</v>
      </c>
      <c r="F8" s="1"/>
      <c r="G8" s="1">
        <f>F7*24+C8+B8</f>
        <v>760107.57775448635</v>
      </c>
    </row>
    <row r="9" spans="1:32" x14ac:dyDescent="0.25">
      <c r="A9" t="s">
        <v>8</v>
      </c>
      <c r="B9" s="1">
        <f>B8+B3</f>
        <v>-66449.779031320009</v>
      </c>
      <c r="C9" s="1">
        <f>C8+C3</f>
        <v>-13317.643214193726</v>
      </c>
      <c r="D9" s="1">
        <f>D8+D3</f>
        <v>-135694.02084304433</v>
      </c>
      <c r="E9" s="1">
        <f>SUM(B9:D9)</f>
        <v>-215461.44308855807</v>
      </c>
      <c r="G9" s="1">
        <f>(G8+E8)/F7</f>
        <v>-1.0495773066814338</v>
      </c>
      <c r="O9">
        <f>O11*(1+O4/12)^O5</f>
        <v>54428.855522758669</v>
      </c>
    </row>
    <row r="11" spans="1:32" x14ac:dyDescent="0.25">
      <c r="A11" t="s">
        <v>24</v>
      </c>
      <c r="O11">
        <v>40000</v>
      </c>
    </row>
    <row r="13" spans="1:3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13</v>
      </c>
      <c r="H13" t="s">
        <v>14</v>
      </c>
      <c r="I13" t="s">
        <v>15</v>
      </c>
      <c r="J13" t="s">
        <v>16</v>
      </c>
    </row>
    <row r="14" spans="1:32" x14ac:dyDescent="0.25">
      <c r="A14">
        <v>1</v>
      </c>
      <c r="B14" s="1">
        <f>PPMT($D$4/12,A14,$D$5,$D$3,0)</f>
        <v>-1170.2835070253693</v>
      </c>
      <c r="C14" s="1">
        <f>IPMT($D$4/12,A14,$D$5,$D$3,0)</f>
        <v>-1935.5</v>
      </c>
      <c r="D14" s="1">
        <f>B14+C14</f>
        <v>-3105.7835070253695</v>
      </c>
      <c r="E14" s="1">
        <f>$D$3+SUM($B$14:B14)</f>
        <v>235829.71649297464</v>
      </c>
      <c r="G14" s="1">
        <f>PPMT($B$4/12,A14,$B$5,$B$3,0)</f>
        <v>-10268.740792971666</v>
      </c>
      <c r="H14" s="1">
        <f>IPMT($B$4/12,A14,$B$5,$B$3,0)</f>
        <v>-5000</v>
      </c>
      <c r="I14" s="1">
        <f xml:space="preserve"> G14+H14</f>
        <v>-15268.740792971666</v>
      </c>
      <c r="J14" s="1">
        <f>$B$3+SUM($G$14:G14)</f>
        <v>289731.25920702831</v>
      </c>
      <c r="K14">
        <f xml:space="preserve"> 50000*0.8</f>
        <v>40000</v>
      </c>
      <c r="L14" s="1">
        <f xml:space="preserve"> K14+G14+B14</f>
        <v>28560.975700002968</v>
      </c>
      <c r="M14" s="1">
        <f xml:space="preserve"> (I14+H14)+ (I14+H14)*0.2</f>
        <v>-24322.488951565996</v>
      </c>
      <c r="O14" t="s">
        <v>22</v>
      </c>
      <c r="P14" t="s">
        <v>21</v>
      </c>
      <c r="Q14" t="s">
        <v>25</v>
      </c>
      <c r="R14" t="s">
        <v>23</v>
      </c>
      <c r="T14" t="s">
        <v>27</v>
      </c>
      <c r="U14" t="s">
        <v>28</v>
      </c>
      <c r="V14" t="s">
        <v>22</v>
      </c>
      <c r="W14" t="s">
        <v>25</v>
      </c>
      <c r="X14" t="s">
        <v>23</v>
      </c>
      <c r="Z14" t="s">
        <v>27</v>
      </c>
      <c r="AA14" t="s">
        <v>28</v>
      </c>
      <c r="AC14">
        <v>20000</v>
      </c>
      <c r="AD14" t="s">
        <v>30</v>
      </c>
      <c r="AF14" t="s">
        <v>10</v>
      </c>
    </row>
    <row r="15" spans="1:32" x14ac:dyDescent="0.25">
      <c r="A15">
        <f>A14+1</f>
        <v>2</v>
      </c>
      <c r="B15" s="1">
        <f>IF(A15&lt;&gt;"",PPMT($D$4/12,A15,$D$5,$D$3,0),"")</f>
        <v>-1179.8408223327431</v>
      </c>
      <c r="C15">
        <f>IF(A15&lt;&gt;"",IPMT($D$4/12,A15,$D$5,$D$3,0),"")</f>
        <v>-1925.942684692626</v>
      </c>
      <c r="D15" s="1">
        <f t="shared" ref="D15:D40" si="0">B15+C15</f>
        <v>-3105.7835070253691</v>
      </c>
      <c r="E15" s="1">
        <f>$D$3+SUM($B$14:B15)</f>
        <v>234649.87567064189</v>
      </c>
      <c r="G15">
        <f>IF(A15&lt;&gt;"",PPMT($B$4/12,A14,$B$5,$B$3,0),"")</f>
        <v>-10268.740792971666</v>
      </c>
      <c r="H15">
        <f>IF(A15&lt;&gt;"",IPMT($B$4/12,A15,$B$5,$B$3,0),"")</f>
        <v>-4828.8543201171387</v>
      </c>
      <c r="I15" s="1">
        <f t="shared" ref="I15:I37" si="1" xml:space="preserve"> G15+H15</f>
        <v>-15097.595113088806</v>
      </c>
      <c r="J15" s="1">
        <f>$B$3+SUM($G$14:G15)</f>
        <v>279462.51841405669</v>
      </c>
      <c r="K15">
        <f t="shared" ref="K15:K40" si="2" xml:space="preserve"> 50000*0.8</f>
        <v>40000</v>
      </c>
      <c r="L15" s="1">
        <f t="shared" ref="L15:L40" si="3" xml:space="preserve"> K15+G15+B15</f>
        <v>28551.418384695593</v>
      </c>
      <c r="M15" s="1">
        <f t="shared" ref="M15:M37" si="4" xml:space="preserve"> (I15+H15)+ (I15+H15)*0.2</f>
        <v>-23911.739319847133</v>
      </c>
      <c r="O15">
        <v>0</v>
      </c>
      <c r="P15">
        <v>20000</v>
      </c>
      <c r="Q15">
        <f>( O15+P15)*(O4/12/100)</f>
        <v>2.5833333333333335</v>
      </c>
      <c r="R15">
        <f t="shared" ref="R15:R38" si="5" xml:space="preserve"> O15+P15+Q15</f>
        <v>20002.583333333332</v>
      </c>
      <c r="S15">
        <f xml:space="preserve"> $O$3-R15</f>
        <v>439997.41666666669</v>
      </c>
      <c r="T15">
        <f>$F$7-P15</f>
        <v>30000</v>
      </c>
      <c r="U15">
        <f>(P15/$F$7)*100%</f>
        <v>0.4</v>
      </c>
      <c r="V15">
        <v>0</v>
      </c>
      <c r="W15">
        <f>( O15+P15)*(P4/12/100)</f>
        <v>3.333333333333333</v>
      </c>
      <c r="X15">
        <f xml:space="preserve"> O15+P15+W15</f>
        <v>20003.333333333332</v>
      </c>
      <c r="Z15">
        <f>$F$7-P15</f>
        <v>30000</v>
      </c>
      <c r="AA15">
        <f>(P15/$F$7)*100%</f>
        <v>0.4</v>
      </c>
      <c r="AC15">
        <v>20000</v>
      </c>
      <c r="AD15">
        <f xml:space="preserve"> $O$3-X15</f>
        <v>439996.66666666669</v>
      </c>
      <c r="AF15">
        <v>50000</v>
      </c>
    </row>
    <row r="16" spans="1:32" x14ac:dyDescent="0.25">
      <c r="A16">
        <f t="shared" ref="A16:A40" si="6">A15+1</f>
        <v>3</v>
      </c>
      <c r="B16" s="1">
        <f t="shared" ref="B16:B40" si="7">IF(A16&lt;&gt;"",PPMT($D$4/12,A16,$D$5,$D$3,0),"")</f>
        <v>-1189.4761890484606</v>
      </c>
      <c r="C16">
        <f t="shared" ref="C16:C40" si="8">IF(A16&lt;&gt;"",IPMT($D$4/12,A16,$D$5,$D$3,0),"")</f>
        <v>-1916.3073179769085</v>
      </c>
      <c r="D16" s="1">
        <f t="shared" si="0"/>
        <v>-3105.7835070253691</v>
      </c>
      <c r="E16" s="1">
        <f>$D$3+SUM($B$14:B16)</f>
        <v>233460.39948159343</v>
      </c>
      <c r="G16">
        <f t="shared" ref="G16:G37" si="9">IF(A16&lt;&gt;"",PPMT($B$4/12,A15,$B$5,$B$3,0),"")</f>
        <v>-10439.88647285453</v>
      </c>
      <c r="H16">
        <f t="shared" ref="H16:H37" si="10">IF(A16&lt;&gt;"",IPMT($B$4/12,A16,$B$5,$B$3,0),"")</f>
        <v>-4654.85621223623</v>
      </c>
      <c r="I16" s="1">
        <f t="shared" si="1"/>
        <v>-15094.742685090761</v>
      </c>
      <c r="J16" s="1">
        <f>$B$3+SUM($G$14:G16)</f>
        <v>269022.63194120215</v>
      </c>
      <c r="K16">
        <f t="shared" si="2"/>
        <v>40000</v>
      </c>
      <c r="L16" s="1">
        <f t="shared" si="3"/>
        <v>28370.637338097011</v>
      </c>
      <c r="M16" s="1">
        <f t="shared" si="4"/>
        <v>-23699.518676792391</v>
      </c>
      <c r="O16">
        <f xml:space="preserve"> R15</f>
        <v>20002.583333333332</v>
      </c>
      <c r="P16">
        <v>20000</v>
      </c>
      <c r="Q16">
        <f>( O16+P16)*(O5/12/100)</f>
        <v>800.05166666666662</v>
      </c>
      <c r="R16">
        <f t="shared" si="5"/>
        <v>40802.634999999995</v>
      </c>
      <c r="S16">
        <f t="shared" ref="S16:S38" si="11" xml:space="preserve"> $O$3-R16</f>
        <v>419197.36499999999</v>
      </c>
      <c r="T16">
        <f t="shared" ref="T16:T38" si="12">$F$7-P16</f>
        <v>30000</v>
      </c>
      <c r="U16">
        <f t="shared" ref="U16:U37" si="13">(P16/$F$7)*100%</f>
        <v>0.4</v>
      </c>
      <c r="V16">
        <f xml:space="preserve"> X15</f>
        <v>20003.333333333332</v>
      </c>
      <c r="W16">
        <f>( O16+P16)*(P5/12/100)</f>
        <v>800.05166666666662</v>
      </c>
      <c r="X16">
        <f t="shared" ref="X16:X37" si="14" xml:space="preserve"> O16+P16+W16</f>
        <v>40802.634999999995</v>
      </c>
      <c r="Z16">
        <f t="shared" ref="Z16:Z37" si="15">$F$7-P16</f>
        <v>30000</v>
      </c>
      <c r="AA16">
        <f t="shared" ref="AA16:AA37" si="16">(P16/$F$7)*100%</f>
        <v>0.4</v>
      </c>
      <c r="AC16">
        <v>20000</v>
      </c>
      <c r="AD16">
        <f t="shared" ref="AD16:AD36" si="17" xml:space="preserve"> $O$3-X16</f>
        <v>419197.36499999999</v>
      </c>
      <c r="AF16">
        <v>50000</v>
      </c>
    </row>
    <row r="17" spans="1:32" x14ac:dyDescent="0.25">
      <c r="A17">
        <f t="shared" si="6"/>
        <v>4</v>
      </c>
      <c r="B17" s="1">
        <f t="shared" si="7"/>
        <v>-1199.1902445923563</v>
      </c>
      <c r="C17">
        <f t="shared" si="8"/>
        <v>-1906.593262433013</v>
      </c>
      <c r="D17" s="1">
        <f t="shared" si="0"/>
        <v>-3105.7835070253695</v>
      </c>
      <c r="E17" s="1">
        <f>$D$3+SUM($B$14:B17)</f>
        <v>232261.20923700108</v>
      </c>
      <c r="G17">
        <f t="shared" si="9"/>
        <v>-10613.884580735439</v>
      </c>
      <c r="H17">
        <f t="shared" si="10"/>
        <v>-4477.958135890638</v>
      </c>
      <c r="I17" s="1">
        <f t="shared" si="1"/>
        <v>-15091.842716626077</v>
      </c>
      <c r="J17" s="1">
        <f>$B$3+SUM($G$14:G17)</f>
        <v>258408.74736046669</v>
      </c>
      <c r="K17">
        <f t="shared" si="2"/>
        <v>40000</v>
      </c>
      <c r="L17" s="1">
        <f t="shared" si="3"/>
        <v>28186.925174672208</v>
      </c>
      <c r="M17" s="1">
        <f t="shared" si="4"/>
        <v>-23483.761023020059</v>
      </c>
      <c r="O17">
        <f xml:space="preserve"> R16</f>
        <v>40802.634999999995</v>
      </c>
      <c r="P17">
        <v>20000</v>
      </c>
      <c r="Q17">
        <f>( O17+P17)*(O4/12/100)</f>
        <v>7.8536736874999997</v>
      </c>
      <c r="R17">
        <f t="shared" si="5"/>
        <v>60810.488673687498</v>
      </c>
      <c r="S17">
        <f t="shared" si="11"/>
        <v>399189.51132631249</v>
      </c>
      <c r="T17">
        <f t="shared" si="12"/>
        <v>30000</v>
      </c>
      <c r="U17">
        <f t="shared" si="13"/>
        <v>0.4</v>
      </c>
      <c r="V17">
        <f xml:space="preserve"> X16</f>
        <v>40802.634999999995</v>
      </c>
      <c r="W17">
        <f>( O17+P17)*($P5/12/100)</f>
        <v>1216.0527</v>
      </c>
      <c r="X17">
        <f t="shared" si="14"/>
        <v>62018.687699999995</v>
      </c>
      <c r="Z17">
        <f t="shared" si="15"/>
        <v>30000</v>
      </c>
      <c r="AA17">
        <f t="shared" si="16"/>
        <v>0.4</v>
      </c>
      <c r="AC17">
        <v>20000</v>
      </c>
      <c r="AD17">
        <f t="shared" si="17"/>
        <v>397981.31229999999</v>
      </c>
      <c r="AF17">
        <v>50000</v>
      </c>
    </row>
    <row r="18" spans="1:32" x14ac:dyDescent="0.25">
      <c r="A18">
        <f t="shared" si="6"/>
        <v>5</v>
      </c>
      <c r="B18" s="1">
        <f t="shared" si="7"/>
        <v>-1208.9836315898606</v>
      </c>
      <c r="C18">
        <f t="shared" si="8"/>
        <v>-1896.7998754355085</v>
      </c>
      <c r="D18" s="1">
        <f t="shared" si="0"/>
        <v>-3105.7835070253691</v>
      </c>
      <c r="E18" s="1">
        <f>$D$3+SUM($B$14:B18)</f>
        <v>231052.22560541122</v>
      </c>
      <c r="G18">
        <f t="shared" si="9"/>
        <v>-10790.782657081028</v>
      </c>
      <c r="H18">
        <f t="shared" si="10"/>
        <v>-4298.111758272621</v>
      </c>
      <c r="I18" s="1">
        <f t="shared" si="1"/>
        <v>-15088.89441535365</v>
      </c>
      <c r="J18" s="1">
        <f>$B$3+SUM($G$14:G18)</f>
        <v>247617.96470338566</v>
      </c>
      <c r="K18">
        <f t="shared" si="2"/>
        <v>40000</v>
      </c>
      <c r="L18" s="1">
        <f t="shared" si="3"/>
        <v>28000.233711329111</v>
      </c>
      <c r="M18" s="1">
        <f t="shared" si="4"/>
        <v>-23264.407408351526</v>
      </c>
      <c r="O18">
        <f xml:space="preserve"> R17</f>
        <v>60810.488673687498</v>
      </c>
      <c r="P18">
        <v>20000</v>
      </c>
      <c r="Q18">
        <f>( O18+P18)*(O5/12/100)</f>
        <v>1616.2097734737501</v>
      </c>
      <c r="R18">
        <f t="shared" si="5"/>
        <v>82426.698447161252</v>
      </c>
      <c r="S18">
        <f t="shared" si="11"/>
        <v>377573.30155283876</v>
      </c>
      <c r="T18">
        <f t="shared" si="12"/>
        <v>30000</v>
      </c>
      <c r="U18">
        <f t="shared" si="13"/>
        <v>0.4</v>
      </c>
      <c r="V18">
        <f xml:space="preserve"> X17</f>
        <v>62018.687699999995</v>
      </c>
      <c r="W18">
        <f>( O18+P18)*($P$5/12/100)</f>
        <v>1616.2097734737501</v>
      </c>
      <c r="X18">
        <f t="shared" si="14"/>
        <v>82426.698447161252</v>
      </c>
      <c r="Z18">
        <f t="shared" si="15"/>
        <v>30000</v>
      </c>
      <c r="AA18">
        <f t="shared" si="16"/>
        <v>0.4</v>
      </c>
      <c r="AC18">
        <v>20000</v>
      </c>
      <c r="AD18">
        <f t="shared" si="17"/>
        <v>377573.30155283876</v>
      </c>
      <c r="AF18">
        <v>50000</v>
      </c>
    </row>
    <row r="19" spans="1:32" x14ac:dyDescent="0.25">
      <c r="A19">
        <f t="shared" si="6"/>
        <v>6</v>
      </c>
      <c r="B19" s="1">
        <f t="shared" si="7"/>
        <v>-1218.8569979145111</v>
      </c>
      <c r="C19">
        <f t="shared" si="8"/>
        <v>-1886.9265091108582</v>
      </c>
      <c r="D19" s="1">
        <f t="shared" si="0"/>
        <v>-3105.7835070253695</v>
      </c>
      <c r="E19" s="1">
        <f>$D$3+SUM($B$14:B19)</f>
        <v>229833.3686074967</v>
      </c>
      <c r="G19">
        <f t="shared" si="9"/>
        <v>-10970.629034699046</v>
      </c>
      <c r="H19">
        <f t="shared" si="10"/>
        <v>-4115.2679410276378</v>
      </c>
      <c r="I19" s="1">
        <f t="shared" si="1"/>
        <v>-15085.896975726684</v>
      </c>
      <c r="J19" s="1">
        <f>$B$3+SUM($G$14:G19)</f>
        <v>236647.3356686866</v>
      </c>
      <c r="K19">
        <f t="shared" si="2"/>
        <v>40000</v>
      </c>
      <c r="L19" s="1">
        <f t="shared" si="3"/>
        <v>27810.513967386443</v>
      </c>
      <c r="M19" s="1">
        <f t="shared" si="4"/>
        <v>-23041.397900105185</v>
      </c>
      <c r="O19">
        <f t="shared" ref="O19:O38" si="18" xml:space="preserve"> R18</f>
        <v>82426.698447161252</v>
      </c>
      <c r="P19">
        <v>20000</v>
      </c>
      <c r="Q19">
        <f>( O19+P19)*($O4/12/100)</f>
        <v>13.230115216091662</v>
      </c>
      <c r="R19">
        <f t="shared" si="5"/>
        <v>102439.92856237735</v>
      </c>
      <c r="S19">
        <f t="shared" si="11"/>
        <v>357560.07143762265</v>
      </c>
      <c r="T19">
        <f t="shared" si="12"/>
        <v>30000</v>
      </c>
      <c r="U19">
        <f t="shared" si="13"/>
        <v>0.4</v>
      </c>
      <c r="V19">
        <f xml:space="preserve"> X18</f>
        <v>82426.698447161252</v>
      </c>
      <c r="W19">
        <f>( O19+P19)*($P$5/12/100)</f>
        <v>2048.5339689432249</v>
      </c>
      <c r="X19">
        <f t="shared" si="14"/>
        <v>104475.23241610448</v>
      </c>
      <c r="Z19">
        <f t="shared" si="15"/>
        <v>30000</v>
      </c>
      <c r="AA19">
        <f t="shared" si="16"/>
        <v>0.4</v>
      </c>
      <c r="AC19">
        <v>20000</v>
      </c>
      <c r="AD19">
        <f t="shared" si="17"/>
        <v>355524.76758389553</v>
      </c>
      <c r="AF19">
        <v>50000</v>
      </c>
    </row>
    <row r="20" spans="1:32" x14ac:dyDescent="0.25">
      <c r="A20">
        <f t="shared" si="6"/>
        <v>7</v>
      </c>
      <c r="B20" s="1">
        <f t="shared" si="7"/>
        <v>-1228.810996730813</v>
      </c>
      <c r="C20">
        <f t="shared" si="8"/>
        <v>-1876.9725102945563</v>
      </c>
      <c r="D20" s="1">
        <f t="shared" si="0"/>
        <v>-3105.7835070253695</v>
      </c>
      <c r="E20" s="1">
        <f>$D$3+SUM($B$14:B20)</f>
        <v>228604.55761076589</v>
      </c>
      <c r="G20">
        <f t="shared" si="9"/>
        <v>-11153.47285194403</v>
      </c>
      <c r="H20">
        <f t="shared" si="10"/>
        <v>-3929.3767268285696</v>
      </c>
      <c r="I20" s="1">
        <f t="shared" si="1"/>
        <v>-15082.849578772601</v>
      </c>
      <c r="J20" s="1">
        <f>$B$3+SUM($G$14:G20)</f>
        <v>225493.86281674259</v>
      </c>
      <c r="K20">
        <f t="shared" si="2"/>
        <v>40000</v>
      </c>
      <c r="L20" s="1">
        <f t="shared" si="3"/>
        <v>27617.716151325156</v>
      </c>
      <c r="M20" s="1">
        <f t="shared" si="4"/>
        <v>-22814.671566721401</v>
      </c>
      <c r="O20">
        <f t="shared" si="18"/>
        <v>102439.92856237735</v>
      </c>
      <c r="P20">
        <v>20000</v>
      </c>
      <c r="Q20">
        <f t="shared" ref="Q20:Q38" si="19">( O20+P20)*($O$4/12/100)</f>
        <v>15.815157439307075</v>
      </c>
      <c r="R20">
        <f t="shared" si="5"/>
        <v>122455.74371981666</v>
      </c>
      <c r="S20">
        <f t="shared" si="11"/>
        <v>337544.25628018333</v>
      </c>
      <c r="T20">
        <f t="shared" si="12"/>
        <v>30000</v>
      </c>
      <c r="U20">
        <f t="shared" si="13"/>
        <v>0.4</v>
      </c>
      <c r="V20">
        <f xml:space="preserve"> X19</f>
        <v>104475.23241610448</v>
      </c>
      <c r="W20">
        <f>( O20+P20)*($P$5/12/100)</f>
        <v>2448.798571247547</v>
      </c>
      <c r="X20">
        <f t="shared" si="14"/>
        <v>124888.7271336249</v>
      </c>
      <c r="Z20">
        <f t="shared" si="15"/>
        <v>30000</v>
      </c>
      <c r="AA20">
        <f t="shared" si="16"/>
        <v>0.4</v>
      </c>
      <c r="AC20">
        <v>20000</v>
      </c>
      <c r="AD20">
        <f t="shared" si="17"/>
        <v>335111.2728663751</v>
      </c>
      <c r="AF20">
        <v>50000</v>
      </c>
    </row>
    <row r="21" spans="1:32" x14ac:dyDescent="0.25">
      <c r="A21">
        <f t="shared" si="6"/>
        <v>8</v>
      </c>
      <c r="B21" s="1">
        <f t="shared" si="7"/>
        <v>-1238.8462865374479</v>
      </c>
      <c r="C21">
        <f t="shared" si="8"/>
        <v>-1866.9372204879214</v>
      </c>
      <c r="D21" s="1">
        <f t="shared" si="0"/>
        <v>-3105.7835070253695</v>
      </c>
      <c r="E21" s="1">
        <f>$D$3+SUM($B$14:B21)</f>
        <v>227365.71132422844</v>
      </c>
      <c r="G21">
        <f t="shared" si="9"/>
        <v>-11339.364066143096</v>
      </c>
      <c r="H21">
        <f t="shared" si="10"/>
        <v>-3740.3873257261844</v>
      </c>
      <c r="I21" s="1">
        <f t="shared" si="1"/>
        <v>-15079.75139186928</v>
      </c>
      <c r="J21" s="1">
        <f>$B$3+SUM($G$14:G21)</f>
        <v>214154.49875059951</v>
      </c>
      <c r="K21">
        <f t="shared" si="2"/>
        <v>40000</v>
      </c>
      <c r="L21" s="1">
        <f t="shared" si="3"/>
        <v>27421.789647319452</v>
      </c>
      <c r="M21" s="1">
        <f t="shared" si="4"/>
        <v>-22584.166461114561</v>
      </c>
      <c r="O21">
        <f t="shared" si="18"/>
        <v>122455.74371981666</v>
      </c>
      <c r="P21">
        <v>20000</v>
      </c>
      <c r="Q21">
        <f t="shared" si="19"/>
        <v>18.400533563809653</v>
      </c>
      <c r="R21">
        <f t="shared" si="5"/>
        <v>142474.14425338048</v>
      </c>
      <c r="S21">
        <f t="shared" si="11"/>
        <v>317525.85574661952</v>
      </c>
      <c r="T21">
        <f t="shared" si="12"/>
        <v>30000</v>
      </c>
      <c r="U21">
        <f t="shared" si="13"/>
        <v>0.4</v>
      </c>
      <c r="V21">
        <f t="shared" ref="V21:V37" si="20" xml:space="preserve"> X20</f>
        <v>124888.7271336249</v>
      </c>
      <c r="W21">
        <f t="shared" ref="W21:W37" si="21">( O21+P21)*($P$5/12/100)</f>
        <v>2849.1148743963336</v>
      </c>
      <c r="X21">
        <f t="shared" si="14"/>
        <v>145304.858594213</v>
      </c>
      <c r="Z21">
        <f t="shared" si="15"/>
        <v>30000</v>
      </c>
      <c r="AA21">
        <f t="shared" si="16"/>
        <v>0.4</v>
      </c>
      <c r="AC21">
        <v>20000</v>
      </c>
      <c r="AD21">
        <f t="shared" si="17"/>
        <v>314695.14140578697</v>
      </c>
      <c r="AF21">
        <v>50000</v>
      </c>
    </row>
    <row r="22" spans="1:32" x14ac:dyDescent="0.25">
      <c r="A22">
        <f t="shared" si="6"/>
        <v>9</v>
      </c>
      <c r="B22" s="1">
        <f t="shared" si="7"/>
        <v>-1248.9635312108371</v>
      </c>
      <c r="C22">
        <f t="shared" si="8"/>
        <v>-1856.8199758145322</v>
      </c>
      <c r="D22" s="1">
        <f t="shared" si="0"/>
        <v>-3105.7835070253695</v>
      </c>
      <c r="E22" s="1">
        <f>$D$3+SUM($B$14:B22)</f>
        <v>226116.7477930176</v>
      </c>
      <c r="G22">
        <f t="shared" si="9"/>
        <v>-11528.353467245481</v>
      </c>
      <c r="H22">
        <f t="shared" si="10"/>
        <v>-3548.2481012720932</v>
      </c>
      <c r="I22" s="1">
        <f t="shared" si="1"/>
        <v>-15076.601568517573</v>
      </c>
      <c r="J22" s="1">
        <f>$B$3+SUM($G$14:G22)</f>
        <v>202626.14528335401</v>
      </c>
      <c r="K22">
        <f t="shared" si="2"/>
        <v>40000</v>
      </c>
      <c r="L22" s="1">
        <f t="shared" si="3"/>
        <v>27222.683001543683</v>
      </c>
      <c r="M22" s="1">
        <f t="shared" si="4"/>
        <v>-22349.819603747601</v>
      </c>
      <c r="O22">
        <f t="shared" si="18"/>
        <v>142474.14425338048</v>
      </c>
      <c r="P22">
        <v>20000</v>
      </c>
      <c r="Q22">
        <f t="shared" si="19"/>
        <v>20.986243632728314</v>
      </c>
      <c r="R22">
        <f t="shared" si="5"/>
        <v>162495.13049701322</v>
      </c>
      <c r="S22">
        <f t="shared" si="11"/>
        <v>297504.86950298678</v>
      </c>
      <c r="T22">
        <f t="shared" si="12"/>
        <v>30000</v>
      </c>
      <c r="U22">
        <f t="shared" si="13"/>
        <v>0.4</v>
      </c>
      <c r="V22">
        <f t="shared" si="20"/>
        <v>145304.858594213</v>
      </c>
      <c r="W22">
        <f t="shared" si="21"/>
        <v>3249.4828850676095</v>
      </c>
      <c r="X22">
        <f t="shared" si="14"/>
        <v>165723.62713844809</v>
      </c>
      <c r="Z22">
        <f t="shared" si="15"/>
        <v>30000</v>
      </c>
      <c r="AA22">
        <f t="shared" si="16"/>
        <v>0.4</v>
      </c>
      <c r="AC22">
        <v>20000</v>
      </c>
      <c r="AD22">
        <f t="shared" si="17"/>
        <v>294276.37286155194</v>
      </c>
      <c r="AF22">
        <v>50000</v>
      </c>
    </row>
    <row r="23" spans="1:32" x14ac:dyDescent="0.25">
      <c r="A23">
        <f t="shared" si="6"/>
        <v>10</v>
      </c>
      <c r="B23" s="1">
        <f t="shared" si="7"/>
        <v>-1259.163400049059</v>
      </c>
      <c r="C23">
        <f t="shared" si="8"/>
        <v>-1846.6201069763106</v>
      </c>
      <c r="D23" s="1">
        <f t="shared" si="0"/>
        <v>-3105.7835070253695</v>
      </c>
      <c r="E23" s="1">
        <f>$D$3+SUM($B$14:B23)</f>
        <v>224857.58439296854</v>
      </c>
      <c r="G23">
        <f t="shared" si="9"/>
        <v>-11720.492691699574</v>
      </c>
      <c r="H23">
        <f t="shared" si="10"/>
        <v>-3352.906556410434</v>
      </c>
      <c r="I23" s="1">
        <f t="shared" si="1"/>
        <v>-15073.399248110007</v>
      </c>
      <c r="J23" s="1">
        <f>$B$3+SUM($G$14:G23)</f>
        <v>190905.65259165445</v>
      </c>
      <c r="K23">
        <f t="shared" si="2"/>
        <v>40000</v>
      </c>
      <c r="L23" s="1">
        <f t="shared" si="3"/>
        <v>27020.343908251365</v>
      </c>
      <c r="M23" s="1">
        <f t="shared" si="4"/>
        <v>-22111.566965424528</v>
      </c>
      <c r="O23">
        <f t="shared" si="18"/>
        <v>162495.13049701322</v>
      </c>
      <c r="P23">
        <v>20000</v>
      </c>
      <c r="Q23">
        <f t="shared" si="19"/>
        <v>23.572287689197541</v>
      </c>
      <c r="R23">
        <f t="shared" si="5"/>
        <v>182518.70278470241</v>
      </c>
      <c r="S23">
        <f t="shared" si="11"/>
        <v>277481.29721529759</v>
      </c>
      <c r="T23">
        <f t="shared" si="12"/>
        <v>30000</v>
      </c>
      <c r="U23">
        <f t="shared" si="13"/>
        <v>0.4</v>
      </c>
      <c r="V23">
        <f t="shared" si="20"/>
        <v>165723.62713844809</v>
      </c>
      <c r="W23">
        <f t="shared" si="21"/>
        <v>3649.9026099402645</v>
      </c>
      <c r="X23">
        <f t="shared" si="14"/>
        <v>186145.03310695349</v>
      </c>
      <c r="Z23">
        <f t="shared" si="15"/>
        <v>30000</v>
      </c>
      <c r="AA23">
        <f t="shared" si="16"/>
        <v>0.4</v>
      </c>
      <c r="AC23">
        <v>20000</v>
      </c>
      <c r="AD23">
        <f t="shared" si="17"/>
        <v>273854.96689304651</v>
      </c>
      <c r="AF23">
        <v>50000</v>
      </c>
    </row>
    <row r="24" spans="1:32" x14ac:dyDescent="0.25">
      <c r="A24">
        <f t="shared" si="6"/>
        <v>11</v>
      </c>
      <c r="B24" s="1">
        <f t="shared" si="7"/>
        <v>-1269.4465678161264</v>
      </c>
      <c r="C24">
        <f t="shared" si="8"/>
        <v>-1836.3369392092429</v>
      </c>
      <c r="D24" s="1">
        <f t="shared" si="0"/>
        <v>-3105.7835070253695</v>
      </c>
      <c r="E24" s="1">
        <f>$D$3+SUM($B$14:B24)</f>
        <v>223588.13782515243</v>
      </c>
      <c r="G24">
        <f t="shared" si="9"/>
        <v>-11915.834236561233</v>
      </c>
      <c r="H24">
        <f t="shared" si="10"/>
        <v>-3154.3093191344137</v>
      </c>
      <c r="I24" s="1">
        <f t="shared" si="1"/>
        <v>-15070.143555695648</v>
      </c>
      <c r="J24" s="1">
        <f>$B$3+SUM($G$14:G24)</f>
        <v>178989.81835509319</v>
      </c>
      <c r="K24">
        <f t="shared" si="2"/>
        <v>40000</v>
      </c>
      <c r="L24" s="1">
        <f t="shared" si="3"/>
        <v>26814.719195622642</v>
      </c>
      <c r="M24" s="1">
        <f t="shared" si="4"/>
        <v>-21869.343449796073</v>
      </c>
      <c r="O24">
        <f t="shared" si="18"/>
        <v>182518.70278470241</v>
      </c>
      <c r="P24">
        <v>20000</v>
      </c>
      <c r="Q24">
        <f t="shared" si="19"/>
        <v>26.158665776357395</v>
      </c>
      <c r="R24">
        <f t="shared" si="5"/>
        <v>202544.86145047878</v>
      </c>
      <c r="S24">
        <f t="shared" si="11"/>
        <v>257455.13854952122</v>
      </c>
      <c r="T24">
        <f t="shared" si="12"/>
        <v>30000</v>
      </c>
      <c r="U24">
        <f t="shared" si="13"/>
        <v>0.4</v>
      </c>
      <c r="V24">
        <f t="shared" si="20"/>
        <v>186145.03310695349</v>
      </c>
      <c r="W24">
        <f t="shared" si="21"/>
        <v>4050.3740556940484</v>
      </c>
      <c r="X24">
        <f t="shared" si="14"/>
        <v>206569.07684039648</v>
      </c>
      <c r="Z24">
        <f t="shared" si="15"/>
        <v>30000</v>
      </c>
      <c r="AA24">
        <f t="shared" si="16"/>
        <v>0.4</v>
      </c>
      <c r="AC24">
        <v>20000</v>
      </c>
      <c r="AD24">
        <f t="shared" si="17"/>
        <v>253430.92315960352</v>
      </c>
      <c r="AF24">
        <v>50000</v>
      </c>
    </row>
    <row r="25" spans="1:32" x14ac:dyDescent="0.25">
      <c r="A25">
        <f t="shared" si="6"/>
        <v>12</v>
      </c>
      <c r="B25" s="1">
        <f t="shared" si="7"/>
        <v>-1279.8137147866248</v>
      </c>
      <c r="C25">
        <f t="shared" si="8"/>
        <v>-1825.9697922387443</v>
      </c>
      <c r="D25" s="1">
        <f t="shared" si="0"/>
        <v>-3105.7835070253691</v>
      </c>
      <c r="E25" s="1">
        <f>$D$3+SUM($B$14:B25)</f>
        <v>222308.32411036579</v>
      </c>
      <c r="G25">
        <f t="shared" si="9"/>
        <v>-12114.431473837254</v>
      </c>
      <c r="H25">
        <f t="shared" si="10"/>
        <v>-2952.4021279037925</v>
      </c>
      <c r="I25" s="1">
        <f t="shared" si="1"/>
        <v>-15066.833601741047</v>
      </c>
      <c r="J25" s="1">
        <f>$B$3+SUM($G$14:G25)</f>
        <v>166875.38688125595</v>
      </c>
      <c r="K25">
        <f t="shared" si="2"/>
        <v>40000</v>
      </c>
      <c r="L25" s="1">
        <f t="shared" si="3"/>
        <v>26605.754811376119</v>
      </c>
      <c r="M25" s="1">
        <f t="shared" si="4"/>
        <v>-21623.082875573808</v>
      </c>
      <c r="O25">
        <f t="shared" si="18"/>
        <v>202544.86145047878</v>
      </c>
      <c r="P25">
        <v>20000</v>
      </c>
      <c r="Q25">
        <f t="shared" si="19"/>
        <v>28.74537793735351</v>
      </c>
      <c r="R25">
        <f t="shared" si="5"/>
        <v>222573.60682841614</v>
      </c>
      <c r="S25">
        <f t="shared" si="11"/>
        <v>237426.39317158386</v>
      </c>
      <c r="T25">
        <f t="shared" si="12"/>
        <v>30000</v>
      </c>
      <c r="U25">
        <f t="shared" si="13"/>
        <v>0.4</v>
      </c>
      <c r="V25">
        <f t="shared" si="20"/>
        <v>206569.07684039648</v>
      </c>
      <c r="W25">
        <f t="shared" si="21"/>
        <v>4450.8972290095762</v>
      </c>
      <c r="X25">
        <f t="shared" si="14"/>
        <v>226995.75867948835</v>
      </c>
      <c r="Z25">
        <f t="shared" si="15"/>
        <v>30000</v>
      </c>
      <c r="AA25">
        <f t="shared" si="16"/>
        <v>0.4</v>
      </c>
      <c r="AC25">
        <v>20000</v>
      </c>
      <c r="AD25">
        <f t="shared" si="17"/>
        <v>233004.24132051165</v>
      </c>
      <c r="AF25">
        <v>50000</v>
      </c>
    </row>
    <row r="26" spans="1:32" x14ac:dyDescent="0.25">
      <c r="A26">
        <f t="shared" si="6"/>
        <v>13</v>
      </c>
      <c r="B26" s="1">
        <f t="shared" si="7"/>
        <v>-1290.2655267907157</v>
      </c>
      <c r="C26">
        <f t="shared" si="8"/>
        <v>-1815.5179802346538</v>
      </c>
      <c r="D26" s="1">
        <f t="shared" si="0"/>
        <v>-3105.7835070253695</v>
      </c>
      <c r="E26" s="1">
        <f>$D$3+SUM($B$14:B26)</f>
        <v>221018.05858357507</v>
      </c>
      <c r="G26">
        <f t="shared" si="9"/>
        <v>-12316.338665067877</v>
      </c>
      <c r="H26">
        <f t="shared" si="10"/>
        <v>-2747.129816819328</v>
      </c>
      <c r="I26" s="1">
        <f t="shared" si="1"/>
        <v>-15063.468481887205</v>
      </c>
      <c r="J26" s="1">
        <f>$B$3+SUM($G$14:G26)</f>
        <v>154559.04821618806</v>
      </c>
      <c r="K26">
        <f t="shared" si="2"/>
        <v>40000</v>
      </c>
      <c r="L26" s="1">
        <f t="shared" si="3"/>
        <v>26393.395808141409</v>
      </c>
      <c r="M26" s="1">
        <f t="shared" si="4"/>
        <v>-21372.71795844784</v>
      </c>
      <c r="O26">
        <f t="shared" si="18"/>
        <v>222573.60682841614</v>
      </c>
      <c r="P26">
        <v>20000</v>
      </c>
      <c r="Q26">
        <f t="shared" si="19"/>
        <v>31.332424215337088</v>
      </c>
      <c r="R26">
        <f t="shared" si="5"/>
        <v>242604.93925263148</v>
      </c>
      <c r="S26">
        <f t="shared" si="11"/>
        <v>217395.06074736852</v>
      </c>
      <c r="T26">
        <f t="shared" si="12"/>
        <v>30000</v>
      </c>
      <c r="U26">
        <f t="shared" si="13"/>
        <v>0.4</v>
      </c>
      <c r="V26">
        <f t="shared" si="20"/>
        <v>226995.75867948835</v>
      </c>
      <c r="W26">
        <f t="shared" si="21"/>
        <v>4851.4721365683226</v>
      </c>
      <c r="X26">
        <f t="shared" si="14"/>
        <v>247425.07896498448</v>
      </c>
      <c r="Z26">
        <f t="shared" si="15"/>
        <v>30000</v>
      </c>
      <c r="AA26">
        <f t="shared" si="16"/>
        <v>0.4</v>
      </c>
      <c r="AC26">
        <v>20000</v>
      </c>
      <c r="AD26">
        <f t="shared" si="17"/>
        <v>212574.92103501552</v>
      </c>
      <c r="AF26">
        <v>50000</v>
      </c>
    </row>
    <row r="27" spans="1:32" x14ac:dyDescent="0.25">
      <c r="A27">
        <f t="shared" si="6"/>
        <v>14</v>
      </c>
      <c r="B27" s="1">
        <f t="shared" si="7"/>
        <v>-1300.8026952595062</v>
      </c>
      <c r="C27">
        <f t="shared" si="8"/>
        <v>-1804.9808117658629</v>
      </c>
      <c r="D27" s="1">
        <f t="shared" si="0"/>
        <v>-3105.7835070253691</v>
      </c>
      <c r="E27" s="1">
        <f>$D$3+SUM($B$14:B27)</f>
        <v>219717.25588831556</v>
      </c>
      <c r="G27">
        <f t="shared" si="9"/>
        <v>-12521.610976152338</v>
      </c>
      <c r="H27">
        <f t="shared" si="10"/>
        <v>-2538.4363005501227</v>
      </c>
      <c r="I27" s="1">
        <f t="shared" si="1"/>
        <v>-15060.047276702462</v>
      </c>
      <c r="J27" s="1">
        <f>$B$3+SUM($G$14:G27)</f>
        <v>142037.43724003574</v>
      </c>
      <c r="K27">
        <f t="shared" si="2"/>
        <v>40000</v>
      </c>
      <c r="L27" s="1">
        <f t="shared" si="3"/>
        <v>26177.586328588153</v>
      </c>
      <c r="M27" s="1">
        <f t="shared" si="4"/>
        <v>-21118.180292703102</v>
      </c>
      <c r="O27">
        <f t="shared" si="18"/>
        <v>242604.93925263148</v>
      </c>
      <c r="P27">
        <v>20000</v>
      </c>
      <c r="Q27">
        <f t="shared" si="19"/>
        <v>33.919804653464901</v>
      </c>
      <c r="R27">
        <f t="shared" si="5"/>
        <v>262638.85905728495</v>
      </c>
      <c r="S27">
        <f t="shared" si="11"/>
        <v>197361.14094271505</v>
      </c>
      <c r="T27">
        <f t="shared" si="12"/>
        <v>30000</v>
      </c>
      <c r="U27">
        <f t="shared" si="13"/>
        <v>0.4</v>
      </c>
      <c r="V27">
        <f t="shared" si="20"/>
        <v>247425.07896498448</v>
      </c>
      <c r="W27">
        <f t="shared" si="21"/>
        <v>5252.0987850526299</v>
      </c>
      <c r="X27">
        <f t="shared" si="14"/>
        <v>267857.03803768416</v>
      </c>
      <c r="Z27">
        <f t="shared" si="15"/>
        <v>30000</v>
      </c>
      <c r="AA27">
        <f t="shared" si="16"/>
        <v>0.4</v>
      </c>
      <c r="AC27">
        <v>20000</v>
      </c>
      <c r="AD27">
        <f t="shared" si="17"/>
        <v>192142.96196231584</v>
      </c>
      <c r="AF27">
        <v>50000</v>
      </c>
    </row>
    <row r="28" spans="1:32" x14ac:dyDescent="0.25">
      <c r="A28">
        <f t="shared" si="6"/>
        <v>15</v>
      </c>
      <c r="B28" s="1">
        <f t="shared" si="7"/>
        <v>-1311.4259172707923</v>
      </c>
      <c r="C28">
        <f t="shared" si="8"/>
        <v>-1794.357589754577</v>
      </c>
      <c r="D28" s="1">
        <f t="shared" si="0"/>
        <v>-3105.7835070253695</v>
      </c>
      <c r="E28" s="1">
        <f>$D$3+SUM($B$14:B28)</f>
        <v>218405.82997104479</v>
      </c>
      <c r="G28">
        <f t="shared" si="9"/>
        <v>-12730.304492421545</v>
      </c>
      <c r="H28">
        <f t="shared" si="10"/>
        <v>-2326.2645590097632</v>
      </c>
      <c r="I28" s="1">
        <f t="shared" si="1"/>
        <v>-15056.569051431308</v>
      </c>
      <c r="J28" s="1">
        <f>$B$3+SUM($G$14:G28)</f>
        <v>129307.1327476142</v>
      </c>
      <c r="K28">
        <f t="shared" si="2"/>
        <v>40000</v>
      </c>
      <c r="L28" s="1">
        <f t="shared" si="3"/>
        <v>25958.269590307664</v>
      </c>
      <c r="M28" s="1">
        <f t="shared" si="4"/>
        <v>-20859.400332529283</v>
      </c>
      <c r="O28">
        <f t="shared" si="18"/>
        <v>262638.85905728495</v>
      </c>
      <c r="P28">
        <v>20000</v>
      </c>
      <c r="Q28">
        <f t="shared" si="19"/>
        <v>36.507519294899311</v>
      </c>
      <c r="R28">
        <f t="shared" si="5"/>
        <v>282675.36657657987</v>
      </c>
      <c r="S28">
        <f t="shared" si="11"/>
        <v>177324.63342342013</v>
      </c>
      <c r="T28">
        <f t="shared" si="12"/>
        <v>30000</v>
      </c>
      <c r="U28">
        <f t="shared" si="13"/>
        <v>0.4</v>
      </c>
      <c r="V28">
        <f t="shared" si="20"/>
        <v>267857.03803768416</v>
      </c>
      <c r="W28">
        <f t="shared" si="21"/>
        <v>5652.7771811456987</v>
      </c>
      <c r="X28">
        <f t="shared" si="14"/>
        <v>288291.63623843063</v>
      </c>
      <c r="Z28">
        <f t="shared" si="15"/>
        <v>30000</v>
      </c>
      <c r="AA28">
        <f t="shared" si="16"/>
        <v>0.4</v>
      </c>
      <c r="AC28">
        <v>20000</v>
      </c>
      <c r="AD28">
        <f t="shared" si="17"/>
        <v>171708.36376156937</v>
      </c>
      <c r="AF28">
        <v>50000</v>
      </c>
    </row>
    <row r="29" spans="1:32" x14ac:dyDescent="0.25">
      <c r="A29">
        <f t="shared" si="6"/>
        <v>16</v>
      </c>
      <c r="B29" s="1">
        <f t="shared" si="7"/>
        <v>-1322.1358955951705</v>
      </c>
      <c r="C29">
        <f t="shared" si="8"/>
        <v>-1783.6476114301988</v>
      </c>
      <c r="D29" s="1">
        <f t="shared" si="0"/>
        <v>-3105.7835070253695</v>
      </c>
      <c r="E29" s="1">
        <f>$D$3+SUM($B$14:B29)</f>
        <v>217083.6940754496</v>
      </c>
      <c r="G29">
        <f t="shared" si="9"/>
        <v>-12942.476233961905</v>
      </c>
      <c r="H29">
        <f t="shared" si="10"/>
        <v>-2110.5566217770647</v>
      </c>
      <c r="I29" s="1">
        <f t="shared" si="1"/>
        <v>-15053.032855738969</v>
      </c>
      <c r="J29" s="1">
        <f>$B$3+SUM($G$14:G29)</f>
        <v>116364.6565136523</v>
      </c>
      <c r="K29">
        <f t="shared" si="2"/>
        <v>40000</v>
      </c>
      <c r="L29" s="1">
        <f t="shared" si="3"/>
        <v>25735.387870442926</v>
      </c>
      <c r="M29" s="1">
        <f t="shared" si="4"/>
        <v>-20596.307373019241</v>
      </c>
      <c r="O29">
        <f t="shared" si="18"/>
        <v>282675.36657657987</v>
      </c>
      <c r="P29">
        <v>20000</v>
      </c>
      <c r="Q29">
        <f t="shared" si="19"/>
        <v>39.095568182808236</v>
      </c>
      <c r="R29">
        <f t="shared" si="5"/>
        <v>302714.46214476269</v>
      </c>
      <c r="S29">
        <f t="shared" si="11"/>
        <v>157285.53785523731</v>
      </c>
      <c r="T29">
        <f t="shared" si="12"/>
        <v>30000</v>
      </c>
      <c r="U29">
        <f t="shared" si="13"/>
        <v>0.4</v>
      </c>
      <c r="V29">
        <f t="shared" si="20"/>
        <v>288291.63623843063</v>
      </c>
      <c r="W29">
        <f t="shared" si="21"/>
        <v>6053.5073315315976</v>
      </c>
      <c r="X29">
        <f t="shared" si="14"/>
        <v>308728.87390811148</v>
      </c>
      <c r="Z29">
        <f t="shared" si="15"/>
        <v>30000</v>
      </c>
      <c r="AA29">
        <f t="shared" si="16"/>
        <v>0.4</v>
      </c>
      <c r="AC29">
        <v>20000</v>
      </c>
      <c r="AD29">
        <f t="shared" si="17"/>
        <v>151271.12609188852</v>
      </c>
      <c r="AF29">
        <v>50000</v>
      </c>
    </row>
    <row r="30" spans="1:32" x14ac:dyDescent="0.25">
      <c r="A30">
        <f t="shared" si="6"/>
        <v>17</v>
      </c>
      <c r="B30" s="1">
        <f t="shared" si="7"/>
        <v>-1332.9333387425309</v>
      </c>
      <c r="C30">
        <f t="shared" si="8"/>
        <v>-1772.8501682828385</v>
      </c>
      <c r="D30" s="1">
        <f t="shared" si="0"/>
        <v>-3105.7835070253695</v>
      </c>
      <c r="E30" s="1">
        <f>$D$3+SUM($B$14:B30)</f>
        <v>215750.76073670707</v>
      </c>
      <c r="G30">
        <f t="shared" si="9"/>
        <v>-13158.184171194602</v>
      </c>
      <c r="H30">
        <f t="shared" si="10"/>
        <v>-1891.2535522571552</v>
      </c>
      <c r="I30" s="1">
        <f t="shared" si="1"/>
        <v>-15049.437723451756</v>
      </c>
      <c r="J30" s="1">
        <f>$B$3+SUM($G$14:G30)</f>
        <v>103206.47234245771</v>
      </c>
      <c r="K30">
        <f t="shared" si="2"/>
        <v>40000</v>
      </c>
      <c r="L30" s="1">
        <f t="shared" si="3"/>
        <v>25508.882490062864</v>
      </c>
      <c r="M30" s="1">
        <f t="shared" si="4"/>
        <v>-20328.829530850693</v>
      </c>
      <c r="O30">
        <f t="shared" si="18"/>
        <v>302714.46214476269</v>
      </c>
      <c r="P30">
        <v>20000</v>
      </c>
      <c r="Q30">
        <f t="shared" si="19"/>
        <v>41.683951360365178</v>
      </c>
      <c r="R30">
        <f t="shared" si="5"/>
        <v>322756.14609612303</v>
      </c>
      <c r="S30">
        <f t="shared" si="11"/>
        <v>137243.85390387697</v>
      </c>
      <c r="T30">
        <f t="shared" si="12"/>
        <v>30000</v>
      </c>
      <c r="U30">
        <f t="shared" si="13"/>
        <v>0.4</v>
      </c>
      <c r="V30">
        <f t="shared" si="20"/>
        <v>308728.87390811148</v>
      </c>
      <c r="W30">
        <f t="shared" si="21"/>
        <v>6454.2892428952537</v>
      </c>
      <c r="X30">
        <f t="shared" si="14"/>
        <v>329168.75138765795</v>
      </c>
      <c r="Z30">
        <f t="shared" si="15"/>
        <v>30000</v>
      </c>
      <c r="AA30">
        <f t="shared" si="16"/>
        <v>0.4</v>
      </c>
      <c r="AC30">
        <v>20000</v>
      </c>
      <c r="AD30">
        <f t="shared" si="17"/>
        <v>130831.24861234205</v>
      </c>
      <c r="AF30">
        <v>50000</v>
      </c>
    </row>
    <row r="31" spans="1:32" x14ac:dyDescent="0.25">
      <c r="A31">
        <f t="shared" si="6"/>
        <v>18</v>
      </c>
      <c r="B31" s="1">
        <f t="shared" si="7"/>
        <v>-1343.8189610089282</v>
      </c>
      <c r="C31">
        <f t="shared" si="8"/>
        <v>-1761.9645460164411</v>
      </c>
      <c r="D31" s="1">
        <f t="shared" si="0"/>
        <v>-3105.7835070253695</v>
      </c>
      <c r="E31" s="1">
        <f>$D$3+SUM($B$14:B31)</f>
        <v>214406.94177569816</v>
      </c>
      <c r="G31">
        <f t="shared" si="9"/>
        <v>-13377.487240714512</v>
      </c>
      <c r="H31">
        <f t="shared" si="10"/>
        <v>-1668.2954315785796</v>
      </c>
      <c r="I31" s="1">
        <f t="shared" si="1"/>
        <v>-15045.782672293091</v>
      </c>
      <c r="J31" s="1">
        <f>$B$3+SUM($G$14:G31)</f>
        <v>89828.985101743194</v>
      </c>
      <c r="K31">
        <f t="shared" si="2"/>
        <v>40000</v>
      </c>
      <c r="L31" s="1">
        <f t="shared" si="3"/>
        <v>25278.693798276559</v>
      </c>
      <c r="M31" s="1">
        <f t="shared" si="4"/>
        <v>-20056.893724646005</v>
      </c>
      <c r="O31">
        <f t="shared" si="18"/>
        <v>322756.14609612303</v>
      </c>
      <c r="P31">
        <v>20000</v>
      </c>
      <c r="Q31">
        <f t="shared" si="19"/>
        <v>44.272668870749229</v>
      </c>
      <c r="R31">
        <f t="shared" si="5"/>
        <v>342800.41876499378</v>
      </c>
      <c r="S31">
        <f t="shared" si="11"/>
        <v>117199.58123500622</v>
      </c>
      <c r="T31">
        <f t="shared" si="12"/>
        <v>30000</v>
      </c>
      <c r="U31">
        <f t="shared" si="13"/>
        <v>0.4</v>
      </c>
      <c r="V31">
        <f t="shared" si="20"/>
        <v>329168.75138765795</v>
      </c>
      <c r="W31">
        <f t="shared" si="21"/>
        <v>6855.1229219224606</v>
      </c>
      <c r="X31">
        <f t="shared" si="14"/>
        <v>349611.26901804551</v>
      </c>
      <c r="Z31">
        <f t="shared" si="15"/>
        <v>30000</v>
      </c>
      <c r="AA31">
        <f t="shared" si="16"/>
        <v>0.4</v>
      </c>
      <c r="AC31">
        <v>20000</v>
      </c>
      <c r="AD31">
        <f t="shared" si="17"/>
        <v>110388.73098195449</v>
      </c>
      <c r="AF31">
        <v>50000</v>
      </c>
    </row>
    <row r="32" spans="1:32" x14ac:dyDescent="0.25">
      <c r="A32">
        <f t="shared" si="6"/>
        <v>19</v>
      </c>
      <c r="B32" s="1">
        <f t="shared" si="7"/>
        <v>-1354.7934825238344</v>
      </c>
      <c r="C32">
        <f t="shared" si="8"/>
        <v>-1750.9900245015349</v>
      </c>
      <c r="D32" s="1">
        <f t="shared" si="0"/>
        <v>-3105.7835070253695</v>
      </c>
      <c r="E32" s="1">
        <f>$D$3+SUM($B$14:B32)</f>
        <v>213052.14829317431</v>
      </c>
      <c r="G32">
        <f t="shared" si="9"/>
        <v>-13600.445361393089</v>
      </c>
      <c r="H32">
        <f t="shared" si="10"/>
        <v>-1441.6213422220283</v>
      </c>
      <c r="I32" s="1">
        <f t="shared" si="1"/>
        <v>-15042.066703615117</v>
      </c>
      <c r="J32" s="1">
        <f>$B$3+SUM($G$14:G32)</f>
        <v>76228.539740350097</v>
      </c>
      <c r="K32">
        <f t="shared" si="2"/>
        <v>40000</v>
      </c>
      <c r="L32" s="1">
        <f t="shared" si="3"/>
        <v>25044.761156083077</v>
      </c>
      <c r="M32" s="1">
        <f t="shared" si="4"/>
        <v>-19780.425655004576</v>
      </c>
      <c r="O32">
        <f t="shared" si="18"/>
        <v>342800.41876499378</v>
      </c>
      <c r="P32">
        <v>20000</v>
      </c>
      <c r="Q32">
        <f t="shared" si="19"/>
        <v>46.861720757145029</v>
      </c>
      <c r="R32">
        <f t="shared" si="5"/>
        <v>362847.28048575093</v>
      </c>
      <c r="S32">
        <f t="shared" si="11"/>
        <v>97152.719514249067</v>
      </c>
      <c r="T32">
        <f t="shared" si="12"/>
        <v>30000</v>
      </c>
      <c r="U32">
        <f t="shared" si="13"/>
        <v>0.4</v>
      </c>
      <c r="V32">
        <f t="shared" si="20"/>
        <v>349611.26901804551</v>
      </c>
      <c r="W32">
        <f t="shared" si="21"/>
        <v>7256.0083752998762</v>
      </c>
      <c r="X32">
        <f t="shared" si="14"/>
        <v>370056.42714029364</v>
      </c>
      <c r="Z32">
        <f t="shared" si="15"/>
        <v>30000</v>
      </c>
      <c r="AA32">
        <f t="shared" si="16"/>
        <v>0.4</v>
      </c>
      <c r="AC32">
        <v>20000</v>
      </c>
      <c r="AD32">
        <f t="shared" si="17"/>
        <v>89943.572859706357</v>
      </c>
      <c r="AF32">
        <v>50000</v>
      </c>
    </row>
    <row r="33" spans="1:32" x14ac:dyDescent="0.25">
      <c r="A33">
        <f t="shared" si="6"/>
        <v>20</v>
      </c>
      <c r="B33" s="1">
        <f t="shared" si="7"/>
        <v>-1365.8576292977791</v>
      </c>
      <c r="C33">
        <f t="shared" si="8"/>
        <v>-1739.9258777275902</v>
      </c>
      <c r="D33" s="1">
        <f t="shared" si="0"/>
        <v>-3105.7835070253695</v>
      </c>
      <c r="E33" s="1">
        <f>$D$3+SUM($B$14:B33)</f>
        <v>211686.29066387654</v>
      </c>
      <c r="G33">
        <f t="shared" si="9"/>
        <v>-13827.119450749638</v>
      </c>
      <c r="H33">
        <f t="shared" si="10"/>
        <v>-1211.1693513762009</v>
      </c>
      <c r="I33" s="1">
        <f t="shared" si="1"/>
        <v>-15038.288802125839</v>
      </c>
      <c r="J33" s="1">
        <f>$B$3+SUM($G$14:G33)</f>
        <v>62401.420289600472</v>
      </c>
      <c r="K33">
        <f t="shared" si="2"/>
        <v>40000</v>
      </c>
      <c r="L33" s="1">
        <f t="shared" si="3"/>
        <v>24807.022919952582</v>
      </c>
      <c r="M33" s="1">
        <f t="shared" si="4"/>
        <v>-19499.349784202448</v>
      </c>
      <c r="O33">
        <f t="shared" si="18"/>
        <v>362847.28048575093</v>
      </c>
      <c r="P33">
        <v>20000</v>
      </c>
      <c r="Q33">
        <f t="shared" si="19"/>
        <v>49.451107062742828</v>
      </c>
      <c r="R33">
        <f t="shared" si="5"/>
        <v>382896.73159281368</v>
      </c>
      <c r="S33">
        <f t="shared" si="11"/>
        <v>77103.268407186319</v>
      </c>
      <c r="T33">
        <f t="shared" si="12"/>
        <v>30000</v>
      </c>
      <c r="U33">
        <f t="shared" si="13"/>
        <v>0.4</v>
      </c>
      <c r="V33">
        <f t="shared" si="20"/>
        <v>370056.42714029364</v>
      </c>
      <c r="W33">
        <f t="shared" si="21"/>
        <v>7656.9456097150187</v>
      </c>
      <c r="X33">
        <f t="shared" si="14"/>
        <v>390504.22609546594</v>
      </c>
      <c r="Z33">
        <f t="shared" si="15"/>
        <v>30000</v>
      </c>
      <c r="AA33">
        <f t="shared" si="16"/>
        <v>0.4</v>
      </c>
      <c r="AC33">
        <v>20000</v>
      </c>
      <c r="AD33">
        <f t="shared" si="17"/>
        <v>69495.773904534057</v>
      </c>
      <c r="AF33">
        <v>50000</v>
      </c>
    </row>
    <row r="34" spans="1:32" x14ac:dyDescent="0.25">
      <c r="A34">
        <f t="shared" si="6"/>
        <v>21</v>
      </c>
      <c r="B34" s="1">
        <f t="shared" si="7"/>
        <v>-1377.0121332703777</v>
      </c>
      <c r="C34">
        <f t="shared" si="8"/>
        <v>-1728.7713737549911</v>
      </c>
      <c r="D34" s="1">
        <f t="shared" si="0"/>
        <v>-3105.7835070253686</v>
      </c>
      <c r="E34" s="1">
        <f>$D$3+SUM($B$14:B34)</f>
        <v>210309.27853060616</v>
      </c>
      <c r="G34">
        <f t="shared" si="9"/>
        <v>-14057.571441595466</v>
      </c>
      <c r="H34">
        <f t="shared" si="10"/>
        <v>-976.87649401627652</v>
      </c>
      <c r="I34" s="1">
        <f t="shared" si="1"/>
        <v>-15034.447935611743</v>
      </c>
      <c r="J34" s="1">
        <f>$B$3+SUM($G$14:G34)</f>
        <v>48343.848848005</v>
      </c>
      <c r="K34">
        <f t="shared" si="2"/>
        <v>40000</v>
      </c>
      <c r="L34" s="1">
        <f t="shared" si="3"/>
        <v>24565.416425134157</v>
      </c>
      <c r="M34" s="1">
        <f t="shared" si="4"/>
        <v>-19213.589315553625</v>
      </c>
      <c r="O34">
        <f t="shared" si="18"/>
        <v>382896.73159281368</v>
      </c>
      <c r="P34">
        <v>20000</v>
      </c>
      <c r="Q34">
        <f t="shared" si="19"/>
        <v>52.040827830738436</v>
      </c>
      <c r="R34">
        <f t="shared" si="5"/>
        <v>402948.77242064441</v>
      </c>
      <c r="S34">
        <f t="shared" si="11"/>
        <v>57051.227579355589</v>
      </c>
      <c r="T34">
        <f t="shared" si="12"/>
        <v>30000</v>
      </c>
      <c r="U34">
        <f t="shared" si="13"/>
        <v>0.4</v>
      </c>
      <c r="V34">
        <f t="shared" si="20"/>
        <v>390504.22609546594</v>
      </c>
      <c r="W34">
        <f t="shared" si="21"/>
        <v>8057.9346318562739</v>
      </c>
      <c r="X34">
        <f t="shared" si="14"/>
        <v>410954.66622466996</v>
      </c>
      <c r="Z34">
        <f t="shared" si="15"/>
        <v>30000</v>
      </c>
      <c r="AA34">
        <f t="shared" si="16"/>
        <v>0.4</v>
      </c>
      <c r="AC34">
        <v>20000</v>
      </c>
      <c r="AD34">
        <f t="shared" si="17"/>
        <v>49045.333775330044</v>
      </c>
      <c r="AF34">
        <v>50000</v>
      </c>
    </row>
    <row r="35" spans="1:32" x14ac:dyDescent="0.25">
      <c r="A35">
        <f t="shared" si="6"/>
        <v>22</v>
      </c>
      <c r="B35" s="1">
        <f t="shared" si="7"/>
        <v>-1388.2577323587525</v>
      </c>
      <c r="C35">
        <f t="shared" si="8"/>
        <v>-1717.5257746666166</v>
      </c>
      <c r="D35" s="1">
        <f t="shared" si="0"/>
        <v>-3105.7835070253691</v>
      </c>
      <c r="E35" s="1">
        <f>$D$3+SUM($B$14:B35)</f>
        <v>208921.02079824739</v>
      </c>
      <c r="G35">
        <f t="shared" si="9"/>
        <v>-14291.86429895539</v>
      </c>
      <c r="H35">
        <f t="shared" si="10"/>
        <v>-738.67875570035324</v>
      </c>
      <c r="I35" s="1">
        <f t="shared" si="1"/>
        <v>-15030.543054655744</v>
      </c>
      <c r="J35" s="1">
        <f>$B$3+SUM($G$14:G35)</f>
        <v>34051.984549049637</v>
      </c>
      <c r="K35">
        <f t="shared" si="2"/>
        <v>40000</v>
      </c>
      <c r="L35" s="1">
        <f t="shared" si="3"/>
        <v>24319.877968685854</v>
      </c>
      <c r="M35" s="1">
        <f t="shared" si="4"/>
        <v>-18923.066172427316</v>
      </c>
      <c r="O35">
        <f t="shared" si="18"/>
        <v>402948.77242064441</v>
      </c>
      <c r="P35">
        <v>20000</v>
      </c>
      <c r="Q35">
        <f t="shared" si="19"/>
        <v>54.630883104333236</v>
      </c>
      <c r="R35">
        <f t="shared" si="5"/>
        <v>423003.40330374875</v>
      </c>
      <c r="S35">
        <f t="shared" si="11"/>
        <v>36996.596696251247</v>
      </c>
      <c r="T35">
        <f t="shared" si="12"/>
        <v>30000</v>
      </c>
      <c r="U35">
        <f t="shared" si="13"/>
        <v>0.4</v>
      </c>
      <c r="V35">
        <f t="shared" si="20"/>
        <v>410954.66622466996</v>
      </c>
      <c r="W35">
        <f t="shared" si="21"/>
        <v>8458.975448412888</v>
      </c>
      <c r="X35">
        <f t="shared" si="14"/>
        <v>431407.74786905729</v>
      </c>
      <c r="Z35">
        <f t="shared" si="15"/>
        <v>30000</v>
      </c>
      <c r="AA35">
        <f t="shared" si="16"/>
        <v>0.4</v>
      </c>
      <c r="AC35">
        <v>20000</v>
      </c>
      <c r="AD35">
        <f t="shared" si="17"/>
        <v>28592.25213094271</v>
      </c>
      <c r="AF35">
        <v>50000</v>
      </c>
    </row>
    <row r="36" spans="1:32" x14ac:dyDescent="0.25">
      <c r="A36">
        <f t="shared" si="6"/>
        <v>23</v>
      </c>
      <c r="B36" s="1">
        <f t="shared" si="7"/>
        <v>-1399.5951705063489</v>
      </c>
      <c r="C36">
        <f t="shared" si="8"/>
        <v>-1706.1883365190204</v>
      </c>
      <c r="D36" s="1">
        <f t="shared" si="0"/>
        <v>-3105.7835070253695</v>
      </c>
      <c r="E36" s="1">
        <f>$D$3+SUM($B$14:B36)</f>
        <v>207521.42562774106</v>
      </c>
      <c r="G36">
        <f t="shared" si="9"/>
        <v>-14530.062037271313</v>
      </c>
      <c r="H36">
        <f t="shared" si="10"/>
        <v>-496.51105507916469</v>
      </c>
      <c r="I36" s="1">
        <f t="shared" si="1"/>
        <v>-15026.573092350478</v>
      </c>
      <c r="J36" s="1">
        <f>$B$3+SUM($G$14:G36)</f>
        <v>19521.922511778306</v>
      </c>
      <c r="K36">
        <f t="shared" si="2"/>
        <v>40000</v>
      </c>
      <c r="L36" s="1">
        <f t="shared" si="3"/>
        <v>24070.342792222338</v>
      </c>
      <c r="M36" s="1">
        <f t="shared" si="4"/>
        <v>-18627.70097691557</v>
      </c>
      <c r="O36">
        <f t="shared" si="18"/>
        <v>423003.40330374875</v>
      </c>
      <c r="P36">
        <v>20000</v>
      </c>
      <c r="Q36">
        <f t="shared" si="19"/>
        <v>57.221272926734216</v>
      </c>
      <c r="R36">
        <f t="shared" si="5"/>
        <v>443060.62457667547</v>
      </c>
      <c r="S36">
        <f t="shared" si="11"/>
        <v>16939.375423324527</v>
      </c>
      <c r="T36">
        <f t="shared" si="12"/>
        <v>30000</v>
      </c>
      <c r="U36">
        <f t="shared" si="13"/>
        <v>0.4</v>
      </c>
      <c r="V36">
        <f t="shared" si="20"/>
        <v>431407.74786905729</v>
      </c>
      <c r="W36">
        <f t="shared" si="21"/>
        <v>8860.0680660749749</v>
      </c>
      <c r="X36">
        <f t="shared" si="14"/>
        <v>451863.47136982373</v>
      </c>
      <c r="Z36">
        <f t="shared" si="15"/>
        <v>30000</v>
      </c>
      <c r="AA36">
        <f t="shared" si="16"/>
        <v>0.4</v>
      </c>
      <c r="AC36">
        <v>20000</v>
      </c>
      <c r="AD36">
        <f t="shared" si="17"/>
        <v>8136.5286301762681</v>
      </c>
      <c r="AF36">
        <v>50000</v>
      </c>
    </row>
    <row r="37" spans="1:32" x14ac:dyDescent="0.25">
      <c r="A37">
        <f t="shared" si="6"/>
        <v>24</v>
      </c>
      <c r="B37" s="1">
        <f t="shared" si="7"/>
        <v>-1411.0251977321509</v>
      </c>
      <c r="C37">
        <f t="shared" si="8"/>
        <v>-1694.7583092932184</v>
      </c>
      <c r="D37" s="1">
        <f t="shared" si="0"/>
        <v>-3105.7835070253695</v>
      </c>
      <c r="E37" s="1">
        <f>$D$3+SUM($B$14:B37)</f>
        <v>206110.40043000891</v>
      </c>
      <c r="G37">
        <f t="shared" si="9"/>
        <v>-14772.229737892501</v>
      </c>
      <c r="H37">
        <f t="shared" si="10"/>
        <v>-250.30722611428965</v>
      </c>
      <c r="I37" s="1">
        <f t="shared" si="1"/>
        <v>-15022.536964006791</v>
      </c>
      <c r="J37" s="1">
        <f>$B$3+SUM($G$14:G37)</f>
        <v>4749.6927738857921</v>
      </c>
      <c r="K37">
        <f t="shared" si="2"/>
        <v>40000</v>
      </c>
      <c r="L37" s="1">
        <f t="shared" si="3"/>
        <v>23816.745064375351</v>
      </c>
      <c r="M37" s="1">
        <f t="shared" si="4"/>
        <v>-18327.413028145296</v>
      </c>
      <c r="O37">
        <f t="shared" si="18"/>
        <v>443060.62457667547</v>
      </c>
      <c r="P37">
        <v>20000</v>
      </c>
      <c r="Q37">
        <f t="shared" si="19"/>
        <v>59.811997341153919</v>
      </c>
      <c r="R37">
        <f t="shared" si="5"/>
        <v>463120.43657401664</v>
      </c>
      <c r="S37">
        <f t="shared" si="11"/>
        <v>-3120.4365740166395</v>
      </c>
      <c r="T37">
        <f t="shared" si="12"/>
        <v>30000</v>
      </c>
      <c r="U37">
        <f t="shared" si="13"/>
        <v>0.4</v>
      </c>
      <c r="V37">
        <f t="shared" si="20"/>
        <v>451863.47136982373</v>
      </c>
      <c r="W37">
        <f t="shared" si="21"/>
        <v>9261.2124915335098</v>
      </c>
      <c r="X37">
        <f t="shared" si="14"/>
        <v>472321.83706820896</v>
      </c>
      <c r="Z37">
        <f t="shared" si="15"/>
        <v>30000</v>
      </c>
      <c r="AA37">
        <f t="shared" si="16"/>
        <v>0.4</v>
      </c>
      <c r="AC37">
        <f>SUM(AC14:AC36)</f>
        <v>460000</v>
      </c>
      <c r="AD37">
        <f xml:space="preserve"> $O$3-X37</f>
        <v>-12321.837068208959</v>
      </c>
    </row>
    <row r="38" spans="1:32" x14ac:dyDescent="0.25">
      <c r="A38">
        <f t="shared" si="6"/>
        <v>25</v>
      </c>
      <c r="B38" s="1">
        <f t="shared" si="7"/>
        <v>-1422.5485701802966</v>
      </c>
      <c r="C38">
        <f t="shared" si="8"/>
        <v>-1683.2349368450728</v>
      </c>
      <c r="D38" s="1">
        <f t="shared" si="0"/>
        <v>-3105.7835070253695</v>
      </c>
      <c r="E38" s="1">
        <f>$D$3+SUM($B$14:B38)</f>
        <v>204687.8518598286</v>
      </c>
      <c r="K38">
        <f t="shared" si="2"/>
        <v>40000</v>
      </c>
      <c r="L38" s="1">
        <f t="shared" si="3"/>
        <v>38577.451429819703</v>
      </c>
      <c r="O38">
        <f t="shared" si="18"/>
        <v>463120.43657401664</v>
      </c>
      <c r="Q38">
        <f t="shared" si="19"/>
        <v>59.819723057477148</v>
      </c>
      <c r="R38">
        <f t="shared" si="5"/>
        <v>463180.25629707414</v>
      </c>
      <c r="S38">
        <f t="shared" si="11"/>
        <v>-3180.2562970741419</v>
      </c>
      <c r="T38">
        <f t="shared" si="12"/>
        <v>50000</v>
      </c>
    </row>
    <row r="39" spans="1:32" x14ac:dyDescent="0.25">
      <c r="A39">
        <f t="shared" si="6"/>
        <v>26</v>
      </c>
      <c r="B39" s="1">
        <f t="shared" si="7"/>
        <v>-1434.1660501701024</v>
      </c>
      <c r="C39">
        <f t="shared" si="8"/>
        <v>-1671.6174568552669</v>
      </c>
      <c r="D39" s="1">
        <f t="shared" si="0"/>
        <v>-3105.7835070253695</v>
      </c>
      <c r="E39" s="1">
        <f>$D$3+SUM($B$14:B39)</f>
        <v>203253.68580965849</v>
      </c>
      <c r="K39">
        <f t="shared" si="2"/>
        <v>40000</v>
      </c>
      <c r="L39" s="1">
        <f t="shared" si="3"/>
        <v>38565.833949829896</v>
      </c>
    </row>
    <row r="40" spans="1:32" x14ac:dyDescent="0.25">
      <c r="A40">
        <f t="shared" si="6"/>
        <v>27</v>
      </c>
      <c r="B40" s="1">
        <f t="shared" si="7"/>
        <v>-1445.8784062464917</v>
      </c>
      <c r="C40">
        <f t="shared" si="8"/>
        <v>-1659.9051007788778</v>
      </c>
      <c r="D40" s="1">
        <f t="shared" si="0"/>
        <v>-3105.7835070253695</v>
      </c>
      <c r="E40" s="1">
        <f>$D$3+SUM($B$14:B40)</f>
        <v>201807.80740341201</v>
      </c>
      <c r="K40">
        <f t="shared" si="2"/>
        <v>40000</v>
      </c>
      <c r="L40" s="1">
        <f t="shared" si="3"/>
        <v>38554.121593753509</v>
      </c>
    </row>
    <row r="43" spans="1:32" x14ac:dyDescent="0.25">
      <c r="A43" t="s">
        <v>19</v>
      </c>
      <c r="M43" s="1">
        <f>SUM(M14:M42)</f>
        <v>-513779.8383465053</v>
      </c>
      <c r="P43" s="1">
        <f xml:space="preserve"> M43+O3</f>
        <v>-53779.838346505305</v>
      </c>
      <c r="R43">
        <f xml:space="preserve"> R37-AC37</f>
        <v>3120.4365740166395</v>
      </c>
      <c r="X43">
        <f xml:space="preserve"> X37-AC37</f>
        <v>12321.837068208959</v>
      </c>
      <c r="AC4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Андрей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Строгонов</dc:creator>
  <cp:lastModifiedBy>Андрей Строгонов</cp:lastModifiedBy>
  <dcterms:created xsi:type="dcterms:W3CDTF">2015-06-05T18:19:34Z</dcterms:created>
  <dcterms:modified xsi:type="dcterms:W3CDTF">2026-03-01T20:01:46Z</dcterms:modified>
</cp:coreProperties>
</file>