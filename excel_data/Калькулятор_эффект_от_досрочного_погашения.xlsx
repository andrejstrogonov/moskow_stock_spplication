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F:\Книги\Экономика\Таблицы\"/>
    </mc:Choice>
  </mc:AlternateContent>
  <xr:revisionPtr revIDLastSave="0" documentId="13_ncr:1_{5DCC3E8E-2567-4F79-8C10-C403E3753241}" xr6:coauthVersionLast="47" xr6:coauthVersionMax="47" xr10:uidLastSave="{00000000-0000-0000-0000-000000000000}"/>
  <bookViews>
    <workbookView xWindow="-120" yWindow="-120" windowWidth="38640" windowHeight="21120" tabRatio="810" xr2:uid="{00000000-000D-0000-FFFF-FFFF00000000}"/>
  </bookViews>
  <sheets>
    <sheet name="calc" sheetId="2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27" l="1"/>
  <c r="F6" i="27" s="1"/>
  <c r="J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44" i="27"/>
  <c r="J45" i="27"/>
  <c r="J46" i="27"/>
  <c r="J47" i="27"/>
  <c r="J48" i="27"/>
  <c r="J49" i="27"/>
  <c r="J50" i="27"/>
  <c r="J51" i="27"/>
  <c r="J52" i="27"/>
  <c r="J53" i="27"/>
  <c r="J54" i="27"/>
  <c r="J55" i="27"/>
  <c r="J56" i="27"/>
  <c r="J57" i="27"/>
  <c r="J58" i="27"/>
  <c r="J59" i="27"/>
  <c r="J60" i="27"/>
  <c r="J61" i="27"/>
  <c r="J62" i="27"/>
  <c r="J63" i="27"/>
  <c r="J64" i="27"/>
  <c r="J65" i="27"/>
  <c r="J66" i="27"/>
  <c r="J67" i="27"/>
  <c r="J68" i="27"/>
  <c r="J69" i="27"/>
  <c r="J70" i="27"/>
  <c r="J71" i="27"/>
  <c r="J72" i="27"/>
  <c r="J73" i="27"/>
  <c r="J74" i="27"/>
  <c r="J75" i="27"/>
  <c r="J76" i="27"/>
  <c r="J77" i="27"/>
  <c r="J78" i="27"/>
  <c r="J79" i="27"/>
  <c r="J80" i="27"/>
  <c r="J81" i="27"/>
  <c r="J82" i="27"/>
  <c r="J83" i="27"/>
  <c r="J84" i="27"/>
  <c r="J85" i="27"/>
  <c r="J86" i="27"/>
  <c r="J87" i="27"/>
  <c r="J88" i="27"/>
  <c r="J89" i="27"/>
  <c r="J90" i="27"/>
  <c r="J91" i="27"/>
  <c r="J92" i="27"/>
  <c r="J93" i="27"/>
  <c r="J94" i="27"/>
  <c r="J95" i="27"/>
  <c r="J96" i="27"/>
  <c r="J97" i="27"/>
  <c r="J98" i="27"/>
  <c r="J99" i="27"/>
  <c r="J100" i="27"/>
  <c r="J101" i="27"/>
  <c r="J102" i="27"/>
  <c r="J103" i="27"/>
  <c r="J104" i="27"/>
  <c r="J105" i="27"/>
  <c r="J106" i="27"/>
  <c r="J107" i="27"/>
  <c r="J108" i="27"/>
  <c r="J109" i="27"/>
  <c r="J110" i="27"/>
  <c r="J111" i="27"/>
  <c r="J112" i="27"/>
  <c r="J113" i="27"/>
  <c r="J114" i="27"/>
  <c r="J115" i="27"/>
  <c r="J116" i="27"/>
  <c r="J117" i="27"/>
  <c r="J118" i="27"/>
  <c r="J119" i="27"/>
  <c r="J120" i="27"/>
  <c r="J121" i="27"/>
  <c r="J122" i="27"/>
  <c r="J123" i="27"/>
  <c r="J124" i="27"/>
  <c r="J125" i="27"/>
  <c r="J126" i="27"/>
  <c r="J127" i="27"/>
  <c r="J128" i="27"/>
  <c r="J129" i="27"/>
  <c r="J130" i="27"/>
  <c r="J131" i="27"/>
  <c r="J132" i="27"/>
  <c r="J133" i="27"/>
  <c r="J134" i="27"/>
  <c r="J135" i="27"/>
  <c r="J136" i="27"/>
  <c r="J137" i="27"/>
  <c r="J138" i="27"/>
  <c r="J139" i="27"/>
  <c r="J140" i="27"/>
  <c r="J141" i="27"/>
  <c r="J142" i="27"/>
  <c r="J143" i="27"/>
  <c r="J144" i="27"/>
  <c r="J145" i="27"/>
  <c r="J146" i="27"/>
  <c r="J147" i="27"/>
  <c r="J148" i="27"/>
  <c r="J149" i="27"/>
  <c r="J150" i="27"/>
  <c r="J151" i="27"/>
  <c r="J152" i="27"/>
  <c r="J153" i="27"/>
  <c r="J154" i="27"/>
  <c r="J155" i="27"/>
  <c r="J156" i="27"/>
  <c r="J157" i="27"/>
  <c r="J158" i="27"/>
  <c r="J159" i="27"/>
  <c r="J160" i="27"/>
  <c r="J161" i="27"/>
  <c r="J162" i="27"/>
  <c r="J163" i="27"/>
  <c r="J164" i="27"/>
  <c r="J165" i="27"/>
  <c r="J166" i="27"/>
  <c r="J167" i="27"/>
  <c r="J168" i="27"/>
  <c r="J169" i="27"/>
  <c r="J170" i="27"/>
  <c r="J171" i="27"/>
  <c r="J172" i="27"/>
  <c r="J173" i="27"/>
  <c r="J174" i="27"/>
  <c r="J175" i="27"/>
  <c r="J176" i="27"/>
  <c r="J177" i="27"/>
  <c r="J178" i="27"/>
  <c r="J179" i="27"/>
  <c r="J180" i="27"/>
  <c r="J181" i="27"/>
  <c r="J182" i="27"/>
  <c r="J183" i="27"/>
  <c r="J184" i="27"/>
  <c r="J185" i="27"/>
  <c r="J186" i="27"/>
  <c r="J187" i="27"/>
  <c r="J188" i="27"/>
  <c r="J189" i="27"/>
  <c r="J190" i="27"/>
  <c r="J191" i="27"/>
  <c r="J192" i="27"/>
  <c r="J193" i="27"/>
  <c r="J194" i="27"/>
  <c r="J195" i="27"/>
  <c r="J196" i="27"/>
  <c r="J197" i="27"/>
  <c r="J198" i="27"/>
  <c r="J199" i="27"/>
  <c r="J200" i="27"/>
  <c r="J201" i="27"/>
  <c r="J202" i="27"/>
  <c r="J203" i="27"/>
  <c r="J204" i="27"/>
  <c r="J205" i="27"/>
  <c r="J206" i="27"/>
  <c r="J207" i="27"/>
  <c r="J208" i="27"/>
  <c r="J209" i="27"/>
  <c r="J210" i="27"/>
  <c r="J211" i="27"/>
  <c r="J212" i="27"/>
  <c r="J213" i="27"/>
  <c r="J214" i="27"/>
  <c r="J215" i="27"/>
  <c r="J216" i="27"/>
  <c r="J217" i="27"/>
  <c r="J218" i="27"/>
  <c r="J219" i="27"/>
  <c r="J220" i="27"/>
  <c r="J221" i="27"/>
  <c r="J222" i="27"/>
  <c r="J223" i="27"/>
  <c r="J224" i="27"/>
  <c r="J225" i="27"/>
  <c r="J226" i="27"/>
  <c r="J227" i="27"/>
  <c r="J228" i="27"/>
  <c r="J229" i="27"/>
  <c r="J230" i="27"/>
  <c r="J231" i="27"/>
  <c r="J232" i="27"/>
  <c r="J233" i="27"/>
  <c r="J234" i="27"/>
  <c r="J235" i="27"/>
  <c r="J236" i="27"/>
  <c r="J237" i="27"/>
  <c r="J238" i="27"/>
  <c r="J239" i="27"/>
  <c r="J240" i="27"/>
  <c r="J241" i="27"/>
  <c r="J242" i="27"/>
  <c r="J243" i="27"/>
  <c r="J244" i="27"/>
  <c r="J245" i="27"/>
  <c r="J246" i="27"/>
  <c r="J247" i="27"/>
  <c r="J248" i="27"/>
  <c r="J249" i="27"/>
  <c r="J250" i="27"/>
  <c r="J251" i="27"/>
  <c r="J252" i="27"/>
  <c r="J253" i="27"/>
  <c r="J254" i="27"/>
  <c r="J255" i="27"/>
  <c r="J256" i="27"/>
  <c r="J257" i="27"/>
  <c r="J258" i="27"/>
  <c r="J259" i="27"/>
  <c r="J260" i="27"/>
  <c r="J261" i="27"/>
  <c r="J262" i="27"/>
  <c r="J263" i="27"/>
  <c r="J264" i="27"/>
  <c r="J265" i="27"/>
  <c r="J266" i="27"/>
  <c r="J267" i="27"/>
  <c r="J268" i="27"/>
  <c r="J269" i="27"/>
  <c r="J270" i="27"/>
  <c r="J271" i="27"/>
  <c r="J272" i="27"/>
  <c r="J273" i="27"/>
  <c r="J274" i="27"/>
  <c r="J275" i="27"/>
  <c r="J276" i="27"/>
  <c r="J277" i="27"/>
  <c r="J278" i="27"/>
  <c r="J279" i="27"/>
  <c r="J280" i="27"/>
  <c r="J281" i="27"/>
  <c r="J282" i="27"/>
  <c r="J283" i="27"/>
  <c r="J284" i="27"/>
  <c r="J285" i="27"/>
  <c r="J286" i="27"/>
  <c r="J287" i="27"/>
  <c r="J288" i="27"/>
  <c r="J289" i="27"/>
  <c r="J290" i="27"/>
  <c r="J291" i="27"/>
  <c r="J292" i="27"/>
  <c r="J293" i="27"/>
  <c r="J294" i="27"/>
  <c r="J295" i="27"/>
  <c r="J296" i="27"/>
  <c r="J297" i="27"/>
  <c r="J298" i="27"/>
  <c r="J299" i="27"/>
  <c r="J300" i="27"/>
  <c r="J301" i="27"/>
  <c r="J302" i="27"/>
  <c r="J303" i="27"/>
  <c r="J304" i="27"/>
  <c r="J305" i="27"/>
  <c r="J306" i="27"/>
  <c r="J307" i="27"/>
  <c r="J308" i="27"/>
  <c r="J309" i="27"/>
  <c r="J310" i="27"/>
  <c r="J311" i="27"/>
  <c r="J312" i="27"/>
  <c r="J313" i="27"/>
  <c r="J314" i="27"/>
  <c r="J315" i="27"/>
  <c r="J316" i="27"/>
  <c r="J317" i="27"/>
  <c r="J318" i="27"/>
  <c r="J319" i="27"/>
  <c r="J320" i="27"/>
  <c r="J321" i="27"/>
  <c r="J322" i="27"/>
  <c r="J323" i="27"/>
  <c r="J324" i="27"/>
  <c r="J325" i="27"/>
  <c r="J326" i="27"/>
  <c r="J327" i="27"/>
  <c r="J328" i="27"/>
  <c r="J329" i="27"/>
  <c r="J330" i="27"/>
  <c r="J331" i="27"/>
  <c r="J332" i="27"/>
  <c r="J333" i="27"/>
  <c r="J334" i="27"/>
  <c r="J335" i="27"/>
  <c r="J336" i="27"/>
  <c r="J337" i="27"/>
  <c r="J338" i="27"/>
  <c r="J339" i="27"/>
  <c r="J340" i="27"/>
  <c r="J341" i="27"/>
  <c r="J342" i="27"/>
  <c r="J343" i="27"/>
  <c r="J344" i="27"/>
  <c r="J345" i="27"/>
  <c r="J346" i="27"/>
  <c r="J347" i="27"/>
  <c r="J348" i="27"/>
  <c r="J349" i="27"/>
  <c r="J350" i="27"/>
  <c r="J351" i="27"/>
  <c r="J352" i="27"/>
  <c r="J353" i="27"/>
  <c r="J354" i="27"/>
  <c r="J355" i="27"/>
  <c r="J356" i="27"/>
  <c r="J357" i="27"/>
  <c r="J358" i="27"/>
  <c r="J359" i="27"/>
  <c r="J360" i="27"/>
  <c r="J361" i="27"/>
  <c r="J362" i="27"/>
  <c r="J363" i="27"/>
  <c r="J364" i="27"/>
  <c r="S6" i="27"/>
  <c r="S7" i="27"/>
  <c r="S8" i="27"/>
  <c r="S9" i="27"/>
  <c r="S10" i="27"/>
  <c r="S11" i="27"/>
  <c r="S12" i="27"/>
  <c r="S13" i="27"/>
  <c r="S14" i="27"/>
  <c r="S15" i="27"/>
  <c r="S16" i="27"/>
  <c r="S17" i="27"/>
  <c r="S18" i="27"/>
  <c r="S19" i="27"/>
  <c r="S20" i="27"/>
  <c r="S21" i="27"/>
  <c r="S22" i="27"/>
  <c r="S23" i="27"/>
  <c r="S24" i="27"/>
  <c r="S25" i="27"/>
  <c r="S26" i="27"/>
  <c r="S27" i="27"/>
  <c r="S28" i="27"/>
  <c r="S29" i="27"/>
  <c r="S30" i="27"/>
  <c r="S31" i="27"/>
  <c r="S32" i="27"/>
  <c r="S33" i="27"/>
  <c r="S34" i="27"/>
  <c r="S35" i="27"/>
  <c r="S36" i="27"/>
  <c r="S37" i="27"/>
  <c r="S38" i="27"/>
  <c r="S39" i="27"/>
  <c r="S40" i="27"/>
  <c r="S41" i="27"/>
  <c r="S42" i="27"/>
  <c r="S43" i="27"/>
  <c r="S44" i="27"/>
  <c r="S45" i="27"/>
  <c r="S46" i="27"/>
  <c r="S47" i="27"/>
  <c r="S48" i="27"/>
  <c r="S49" i="27"/>
  <c r="S50" i="27"/>
  <c r="S51" i="27"/>
  <c r="S52" i="27"/>
  <c r="S53" i="27"/>
  <c r="S54" i="27"/>
  <c r="S55" i="27"/>
  <c r="S56" i="27"/>
  <c r="S57" i="27"/>
  <c r="S58" i="27"/>
  <c r="S59" i="27"/>
  <c r="S60" i="27"/>
  <c r="S61" i="27"/>
  <c r="S62" i="27"/>
  <c r="S63" i="27"/>
  <c r="S64" i="27"/>
  <c r="S65" i="27"/>
  <c r="S66" i="27"/>
  <c r="S67" i="27"/>
  <c r="S68" i="27"/>
  <c r="S69" i="27"/>
  <c r="S70" i="27"/>
  <c r="S71" i="27"/>
  <c r="S72" i="27"/>
  <c r="S73" i="27"/>
  <c r="S74" i="27"/>
  <c r="S75" i="27"/>
  <c r="S76" i="27"/>
  <c r="S77" i="27"/>
  <c r="S78" i="27"/>
  <c r="S79" i="27"/>
  <c r="S80" i="27"/>
  <c r="S81" i="27"/>
  <c r="S82" i="27"/>
  <c r="S83" i="27"/>
  <c r="S84" i="27"/>
  <c r="S85" i="27"/>
  <c r="S86" i="27"/>
  <c r="S87" i="27"/>
  <c r="S88" i="27"/>
  <c r="S89" i="27"/>
  <c r="S90" i="27"/>
  <c r="S91" i="27"/>
  <c r="S92" i="27"/>
  <c r="S93" i="27"/>
  <c r="S94" i="27"/>
  <c r="S95" i="27"/>
  <c r="S96" i="27"/>
  <c r="S97" i="27"/>
  <c r="S98" i="27"/>
  <c r="S99" i="27"/>
  <c r="S100" i="27"/>
  <c r="S101" i="27"/>
  <c r="S102" i="27"/>
  <c r="S103" i="27"/>
  <c r="S104" i="27"/>
  <c r="S105" i="27"/>
  <c r="S106" i="27"/>
  <c r="S107" i="27"/>
  <c r="S108" i="27"/>
  <c r="S109" i="27"/>
  <c r="S110" i="27"/>
  <c r="S111" i="27"/>
  <c r="S112" i="27"/>
  <c r="S113" i="27"/>
  <c r="S114" i="27"/>
  <c r="S115" i="27"/>
  <c r="S116" i="27"/>
  <c r="S117" i="27"/>
  <c r="S118" i="27"/>
  <c r="S119" i="27"/>
  <c r="S120" i="27"/>
  <c r="S121" i="27"/>
  <c r="S122" i="27"/>
  <c r="S123" i="27"/>
  <c r="S124" i="27"/>
  <c r="S125" i="27"/>
  <c r="S126" i="27"/>
  <c r="S127" i="27"/>
  <c r="S128" i="27"/>
  <c r="S129" i="27"/>
  <c r="S130" i="27"/>
  <c r="S131" i="27"/>
  <c r="S132" i="27"/>
  <c r="S133" i="27"/>
  <c r="S134" i="27"/>
  <c r="S135" i="27"/>
  <c r="S136" i="27"/>
  <c r="S137" i="27"/>
  <c r="S138" i="27"/>
  <c r="S139" i="27"/>
  <c r="S140" i="27"/>
  <c r="S141" i="27"/>
  <c r="S142" i="27"/>
  <c r="S143" i="27"/>
  <c r="S144" i="27"/>
  <c r="S145" i="27"/>
  <c r="S146" i="27"/>
  <c r="S147" i="27"/>
  <c r="S148" i="27"/>
  <c r="S149" i="27"/>
  <c r="S150" i="27"/>
  <c r="S151" i="27"/>
  <c r="S152" i="27"/>
  <c r="S153" i="27"/>
  <c r="S154" i="27"/>
  <c r="S155" i="27"/>
  <c r="S156" i="27"/>
  <c r="S157" i="27"/>
  <c r="S158" i="27"/>
  <c r="S159" i="27"/>
  <c r="S160" i="27"/>
  <c r="S161" i="27"/>
  <c r="S162" i="27"/>
  <c r="S163" i="27"/>
  <c r="S164" i="27"/>
  <c r="S165" i="27"/>
  <c r="S166" i="27"/>
  <c r="S167" i="27"/>
  <c r="S168" i="27"/>
  <c r="S169" i="27"/>
  <c r="S170" i="27"/>
  <c r="S171" i="27"/>
  <c r="S172" i="27"/>
  <c r="S173" i="27"/>
  <c r="S174" i="27"/>
  <c r="S175" i="27"/>
  <c r="S176" i="27"/>
  <c r="S177" i="27"/>
  <c r="S178" i="27"/>
  <c r="S179" i="27"/>
  <c r="S180" i="27"/>
  <c r="S181" i="27"/>
  <c r="S182" i="27"/>
  <c r="S183" i="27"/>
  <c r="S184" i="27"/>
  <c r="S185" i="27"/>
  <c r="S186" i="27"/>
  <c r="S187" i="27"/>
  <c r="S188" i="27"/>
  <c r="S189" i="27"/>
  <c r="S190" i="27"/>
  <c r="S191" i="27"/>
  <c r="S192" i="27"/>
  <c r="S193" i="27"/>
  <c r="S194" i="27"/>
  <c r="S195" i="27"/>
  <c r="S196" i="27"/>
  <c r="S197" i="27"/>
  <c r="S198" i="27"/>
  <c r="S199" i="27"/>
  <c r="S200" i="27"/>
  <c r="S201" i="27"/>
  <c r="S202" i="27"/>
  <c r="S203" i="27"/>
  <c r="S204" i="27"/>
  <c r="S205" i="27"/>
  <c r="S206" i="27"/>
  <c r="S207" i="27"/>
  <c r="S208" i="27"/>
  <c r="S209" i="27"/>
  <c r="S210" i="27"/>
  <c r="S211" i="27"/>
  <c r="S212" i="27"/>
  <c r="S213" i="27"/>
  <c r="S214" i="27"/>
  <c r="S215" i="27"/>
  <c r="S216" i="27"/>
  <c r="S217" i="27"/>
  <c r="S218" i="27"/>
  <c r="S219" i="27"/>
  <c r="S220" i="27"/>
  <c r="S221" i="27"/>
  <c r="S222" i="27"/>
  <c r="S223" i="27"/>
  <c r="S224" i="27"/>
  <c r="S225" i="27"/>
  <c r="S226" i="27"/>
  <c r="S227" i="27"/>
  <c r="S228" i="27"/>
  <c r="S229" i="27"/>
  <c r="S230" i="27"/>
  <c r="S231" i="27"/>
  <c r="S232" i="27"/>
  <c r="S233" i="27"/>
  <c r="S234" i="27"/>
  <c r="S235" i="27"/>
  <c r="S236" i="27"/>
  <c r="S237" i="27"/>
  <c r="S238" i="27"/>
  <c r="S239" i="27"/>
  <c r="S240" i="27"/>
  <c r="S241" i="27"/>
  <c r="S242" i="27"/>
  <c r="S243" i="27"/>
  <c r="S244" i="27"/>
  <c r="S245" i="27"/>
  <c r="S246" i="27"/>
  <c r="S247" i="27"/>
  <c r="S248" i="27"/>
  <c r="S249" i="27"/>
  <c r="S250" i="27"/>
  <c r="S251" i="27"/>
  <c r="S252" i="27"/>
  <c r="S253" i="27"/>
  <c r="S254" i="27"/>
  <c r="S255" i="27"/>
  <c r="S256" i="27"/>
  <c r="S257" i="27"/>
  <c r="S258" i="27"/>
  <c r="S259" i="27"/>
  <c r="S260" i="27"/>
  <c r="S261" i="27"/>
  <c r="S262" i="27"/>
  <c r="S263" i="27"/>
  <c r="S264" i="27"/>
  <c r="S265" i="27"/>
  <c r="S266" i="27"/>
  <c r="S267" i="27"/>
  <c r="S268" i="27"/>
  <c r="S269" i="27"/>
  <c r="S270" i="27"/>
  <c r="S271" i="27"/>
  <c r="S272" i="27"/>
  <c r="S273" i="27"/>
  <c r="S274" i="27"/>
  <c r="S275" i="27"/>
  <c r="S276" i="27"/>
  <c r="S277" i="27"/>
  <c r="S278" i="27"/>
  <c r="S279" i="27"/>
  <c r="S280" i="27"/>
  <c r="S281" i="27"/>
  <c r="S282" i="27"/>
  <c r="S283" i="27"/>
  <c r="S284" i="27"/>
  <c r="S285" i="27"/>
  <c r="S286" i="27"/>
  <c r="S287" i="27"/>
  <c r="S288" i="27"/>
  <c r="S289" i="27"/>
  <c r="S290" i="27"/>
  <c r="S291" i="27"/>
  <c r="S292" i="27"/>
  <c r="S293" i="27"/>
  <c r="S294" i="27"/>
  <c r="S295" i="27"/>
  <c r="S296" i="27"/>
  <c r="S297" i="27"/>
  <c r="S298" i="27"/>
  <c r="S299" i="27"/>
  <c r="S300" i="27"/>
  <c r="S301" i="27"/>
  <c r="S302" i="27"/>
  <c r="S303" i="27"/>
  <c r="S304" i="27"/>
  <c r="S305" i="27"/>
  <c r="S306" i="27"/>
  <c r="S307" i="27"/>
  <c r="S308" i="27"/>
  <c r="S309" i="27"/>
  <c r="S310" i="27"/>
  <c r="S311" i="27"/>
  <c r="S312" i="27"/>
  <c r="S313" i="27"/>
  <c r="S314" i="27"/>
  <c r="S315" i="27"/>
  <c r="S316" i="27"/>
  <c r="S317" i="27"/>
  <c r="S318" i="27"/>
  <c r="S319" i="27"/>
  <c r="S320" i="27"/>
  <c r="S321" i="27"/>
  <c r="S322" i="27"/>
  <c r="S323" i="27"/>
  <c r="S324" i="27"/>
  <c r="S325" i="27"/>
  <c r="S326" i="27"/>
  <c r="S327" i="27"/>
  <c r="S328" i="27"/>
  <c r="S329" i="27"/>
  <c r="S330" i="27"/>
  <c r="S331" i="27"/>
  <c r="S332" i="27"/>
  <c r="S333" i="27"/>
  <c r="S334" i="27"/>
  <c r="S335" i="27"/>
  <c r="S336" i="27"/>
  <c r="S337" i="27"/>
  <c r="S338" i="27"/>
  <c r="S339" i="27"/>
  <c r="S340" i="27"/>
  <c r="S341" i="27"/>
  <c r="S342" i="27"/>
  <c r="S343" i="27"/>
  <c r="S344" i="27"/>
  <c r="S345" i="27"/>
  <c r="S346" i="27"/>
  <c r="S347" i="27"/>
  <c r="S348" i="27"/>
  <c r="S349" i="27"/>
  <c r="S350" i="27"/>
  <c r="S351" i="27"/>
  <c r="S352" i="27"/>
  <c r="S353" i="27"/>
  <c r="S354" i="27"/>
  <c r="S355" i="27"/>
  <c r="S356" i="27"/>
  <c r="S357" i="27"/>
  <c r="S358" i="27"/>
  <c r="S359" i="27"/>
  <c r="S360" i="27"/>
  <c r="S361" i="27"/>
  <c r="S362" i="27"/>
  <c r="S363" i="27"/>
  <c r="S364" i="27"/>
  <c r="S5" i="27"/>
  <c r="I5" i="27"/>
  <c r="H6" i="27" s="1"/>
  <c r="C10" i="27"/>
  <c r="I4" i="27"/>
  <c r="H5" i="27" s="1"/>
  <c r="M5" i="27"/>
  <c r="Q5" i="27" s="1"/>
  <c r="M6" i="27" s="1"/>
  <c r="T5" i="27" l="1"/>
  <c r="H7" i="27"/>
  <c r="N6" i="27"/>
  <c r="I7" i="27"/>
  <c r="P6" i="27"/>
  <c r="O6" i="27" l="1"/>
  <c r="Q6" i="27" s="1"/>
  <c r="M7" i="27" s="1"/>
  <c r="I8" i="27"/>
  <c r="F7" i="27"/>
  <c r="H8" i="27"/>
  <c r="N4" i="27"/>
  <c r="N7" i="27" l="1"/>
  <c r="P7" i="27"/>
  <c r="H9" i="27"/>
  <c r="I9" i="27"/>
  <c r="F8" i="27"/>
  <c r="O7" i="27" l="1"/>
  <c r="Q7" i="27" s="1"/>
  <c r="M8" i="27" s="1"/>
  <c r="H10" i="27"/>
  <c r="I10" i="27"/>
  <c r="F9" i="27"/>
  <c r="J5" i="27"/>
  <c r="N8" i="27" l="1"/>
  <c r="P8" i="27"/>
  <c r="O8" i="27" s="1"/>
  <c r="Q8" i="27" s="1"/>
  <c r="M9" i="27" s="1"/>
  <c r="F10" i="27"/>
  <c r="H11" i="27"/>
  <c r="I11" i="27"/>
  <c r="F4" i="27"/>
  <c r="F5" i="27"/>
  <c r="P5" i="27" s="1"/>
  <c r="N9" i="27" l="1"/>
  <c r="P9" i="27"/>
  <c r="O9" i="27" s="1"/>
  <c r="I12" i="27"/>
  <c r="F11" i="27"/>
  <c r="H12" i="27"/>
  <c r="N5" i="27"/>
  <c r="Q9" i="27" l="1"/>
  <c r="M10" i="27" s="1"/>
  <c r="H13" i="27"/>
  <c r="I13" i="27"/>
  <c r="F12" i="27"/>
  <c r="N10" i="27" l="1"/>
  <c r="P10" i="27"/>
  <c r="H14" i="27"/>
  <c r="I14" i="27"/>
  <c r="F13" i="27"/>
  <c r="O10" i="27" l="1"/>
  <c r="Q10" i="27" s="1"/>
  <c r="M11" i="27" s="1"/>
  <c r="F14" i="27"/>
  <c r="H15" i="27"/>
  <c r="I15" i="27"/>
  <c r="N11" i="27" l="1"/>
  <c r="P11" i="27"/>
  <c r="O11" i="27" s="1"/>
  <c r="I16" i="27"/>
  <c r="F15" i="27"/>
  <c r="H16" i="27"/>
  <c r="Q11" i="27" l="1"/>
  <c r="M12" i="27" s="1"/>
  <c r="H17" i="27"/>
  <c r="I17" i="27"/>
  <c r="F16" i="27"/>
  <c r="N12" i="27" l="1"/>
  <c r="P12" i="27"/>
  <c r="H18" i="27"/>
  <c r="F17" i="27"/>
  <c r="I18" i="27"/>
  <c r="O12" i="27" l="1"/>
  <c r="Q12" i="27" s="1"/>
  <c r="M13" i="27" s="1"/>
  <c r="F18" i="27"/>
  <c r="I19" i="27"/>
  <c r="H19" i="27"/>
  <c r="N13" i="27" l="1"/>
  <c r="P13" i="27"/>
  <c r="I20" i="27"/>
  <c r="F19" i="27"/>
  <c r="H20" i="27"/>
  <c r="O13" i="27" l="1"/>
  <c r="Q13" i="27" s="1"/>
  <c r="M14" i="27" s="1"/>
  <c r="H21" i="27"/>
  <c r="I21" i="27"/>
  <c r="F20" i="27"/>
  <c r="N14" i="27" l="1"/>
  <c r="P14" i="27"/>
  <c r="H22" i="27"/>
  <c r="F21" i="27"/>
  <c r="I22" i="27"/>
  <c r="O14" i="27" l="1"/>
  <c r="Q14" i="27" s="1"/>
  <c r="M15" i="27" s="1"/>
  <c r="F22" i="27"/>
  <c r="I23" i="27"/>
  <c r="H23" i="27"/>
  <c r="N15" i="27" l="1"/>
  <c r="P15" i="27"/>
  <c r="F23" i="27"/>
  <c r="H24" i="27"/>
  <c r="I24" i="27"/>
  <c r="O15" i="27" l="1"/>
  <c r="H25" i="27"/>
  <c r="F24" i="27"/>
  <c r="I25" i="27"/>
  <c r="Q15" i="27" l="1"/>
  <c r="M16" i="27" s="1"/>
  <c r="F25" i="27"/>
  <c r="H26" i="27"/>
  <c r="I26" i="27"/>
  <c r="P16" i="27" l="1"/>
  <c r="N16" i="27"/>
  <c r="I27" i="27"/>
  <c r="H27" i="27"/>
  <c r="F26" i="27"/>
  <c r="O16" i="27" l="1"/>
  <c r="Q16" i="27" s="1"/>
  <c r="M17" i="27" s="1"/>
  <c r="H28" i="27"/>
  <c r="F27" i="27"/>
  <c r="I28" i="27"/>
  <c r="N17" i="27" l="1"/>
  <c r="P17" i="27"/>
  <c r="H29" i="27"/>
  <c r="F28" i="27"/>
  <c r="I29" i="27"/>
  <c r="O17" i="27" l="1"/>
  <c r="Q17" i="27" s="1"/>
  <c r="M18" i="27" s="1"/>
  <c r="F29" i="27"/>
  <c r="H30" i="27"/>
  <c r="I30" i="27"/>
  <c r="N18" i="27" l="1"/>
  <c r="P18" i="27"/>
  <c r="I31" i="27"/>
  <c r="H31" i="27"/>
  <c r="F30" i="27"/>
  <c r="O18" i="27" l="1"/>
  <c r="Q18" i="27" s="1"/>
  <c r="M19" i="27" s="1"/>
  <c r="H32" i="27"/>
  <c r="F31" i="27"/>
  <c r="I32" i="27"/>
  <c r="N19" i="27" l="1"/>
  <c r="P19" i="27"/>
  <c r="H33" i="27"/>
  <c r="F32" i="27"/>
  <c r="I33" i="27"/>
  <c r="O19" i="27" l="1"/>
  <c r="Q19" i="27" s="1"/>
  <c r="M20" i="27" s="1"/>
  <c r="F33" i="27"/>
  <c r="H34" i="27"/>
  <c r="I34" i="27"/>
  <c r="N20" i="27" l="1"/>
  <c r="P20" i="27"/>
  <c r="I35" i="27"/>
  <c r="H35" i="27"/>
  <c r="F34" i="27"/>
  <c r="O20" i="27" l="1"/>
  <c r="Q20" i="27" s="1"/>
  <c r="M21" i="27" s="1"/>
  <c r="H36" i="27"/>
  <c r="F35" i="27"/>
  <c r="I36" i="27"/>
  <c r="N21" i="27" l="1"/>
  <c r="P21" i="27"/>
  <c r="H37" i="27"/>
  <c r="F36" i="27"/>
  <c r="I37" i="27"/>
  <c r="O21" i="27" l="1"/>
  <c r="Q21" i="27" s="1"/>
  <c r="M22" i="27" s="1"/>
  <c r="F37" i="27"/>
  <c r="H38" i="27"/>
  <c r="I38" i="27"/>
  <c r="N22" i="27" l="1"/>
  <c r="P22" i="27"/>
  <c r="I39" i="27"/>
  <c r="H39" i="27"/>
  <c r="F38" i="27"/>
  <c r="O22" i="27" l="1"/>
  <c r="Q22" i="27" s="1"/>
  <c r="M23" i="27" s="1"/>
  <c r="H40" i="27"/>
  <c r="F39" i="27"/>
  <c r="I40" i="27"/>
  <c r="P23" i="27" l="1"/>
  <c r="N23" i="27"/>
  <c r="H41" i="27"/>
  <c r="F40" i="27"/>
  <c r="I41" i="27"/>
  <c r="O23" i="27" l="1"/>
  <c r="Q23" i="27" s="1"/>
  <c r="M24" i="27" s="1"/>
  <c r="F41" i="27"/>
  <c r="H42" i="27"/>
  <c r="I42" i="27"/>
  <c r="N24" i="27" l="1"/>
  <c r="P24" i="27"/>
  <c r="I43" i="27"/>
  <c r="H43" i="27"/>
  <c r="F42" i="27"/>
  <c r="O24" i="27" l="1"/>
  <c r="Q24" i="27" s="1"/>
  <c r="M25" i="27" s="1"/>
  <c r="H44" i="27"/>
  <c r="F43" i="27"/>
  <c r="I44" i="27"/>
  <c r="P25" i="27" l="1"/>
  <c r="N25" i="27"/>
  <c r="H45" i="27"/>
  <c r="F44" i="27"/>
  <c r="I45" i="27"/>
  <c r="O25" i="27" l="1"/>
  <c r="Q25" i="27" s="1"/>
  <c r="M26" i="27" s="1"/>
  <c r="F45" i="27"/>
  <c r="H46" i="27"/>
  <c r="I46" i="27"/>
  <c r="N26" i="27" l="1"/>
  <c r="P26" i="27"/>
  <c r="I47" i="27"/>
  <c r="H47" i="27"/>
  <c r="F46" i="27"/>
  <c r="O26" i="27" l="1"/>
  <c r="Q26" i="27" s="1"/>
  <c r="M27" i="27" s="1"/>
  <c r="H48" i="27"/>
  <c r="F47" i="27"/>
  <c r="I48" i="27"/>
  <c r="P27" i="27" l="1"/>
  <c r="N27" i="27"/>
  <c r="F48" i="27"/>
  <c r="H49" i="27"/>
  <c r="I49" i="27"/>
  <c r="O27" i="27" l="1"/>
  <c r="Q27" i="27" s="1"/>
  <c r="M28" i="27" s="1"/>
  <c r="I50" i="27"/>
  <c r="F49" i="27"/>
  <c r="H50" i="27"/>
  <c r="N28" i="27" l="1"/>
  <c r="P28" i="27"/>
  <c r="H51" i="27"/>
  <c r="I51" i="27"/>
  <c r="F50" i="27"/>
  <c r="O28" i="27" l="1"/>
  <c r="Q28" i="27" s="1"/>
  <c r="M29" i="27" s="1"/>
  <c r="H52" i="27"/>
  <c r="I52" i="27"/>
  <c r="F51" i="27"/>
  <c r="N29" i="27" l="1"/>
  <c r="P29" i="27"/>
  <c r="F52" i="27"/>
  <c r="H53" i="27"/>
  <c r="I53" i="27"/>
  <c r="O29" i="27" l="1"/>
  <c r="Q29" i="27" s="1"/>
  <c r="M30" i="27" s="1"/>
  <c r="I54" i="27"/>
  <c r="F53" i="27"/>
  <c r="H54" i="27"/>
  <c r="N30" i="27" l="1"/>
  <c r="P30" i="27"/>
  <c r="H55" i="27"/>
  <c r="I55" i="27"/>
  <c r="F54" i="27"/>
  <c r="O30" i="27" l="1"/>
  <c r="Q30" i="27" s="1"/>
  <c r="M31" i="27" s="1"/>
  <c r="H56" i="27"/>
  <c r="I56" i="27"/>
  <c r="F55" i="27"/>
  <c r="P31" i="27" l="1"/>
  <c r="N31" i="27"/>
  <c r="F56" i="27"/>
  <c r="H57" i="27"/>
  <c r="I57" i="27"/>
  <c r="O31" i="27" l="1"/>
  <c r="Q31" i="27" s="1"/>
  <c r="M32" i="27" s="1"/>
  <c r="I58" i="27"/>
  <c r="F57" i="27"/>
  <c r="H58" i="27"/>
  <c r="N32" i="27" l="1"/>
  <c r="P32" i="27"/>
  <c r="H59" i="27"/>
  <c r="I59" i="27"/>
  <c r="F58" i="27"/>
  <c r="O32" i="27" l="1"/>
  <c r="Q32" i="27" s="1"/>
  <c r="M33" i="27" s="1"/>
  <c r="H60" i="27"/>
  <c r="I60" i="27"/>
  <c r="F59" i="27"/>
  <c r="N33" i="27" l="1"/>
  <c r="P33" i="27"/>
  <c r="F60" i="27"/>
  <c r="H61" i="27"/>
  <c r="I61" i="27"/>
  <c r="O33" i="27" l="1"/>
  <c r="Q33" i="27" s="1"/>
  <c r="M34" i="27" s="1"/>
  <c r="I62" i="27"/>
  <c r="F61" i="27"/>
  <c r="H62" i="27"/>
  <c r="P34" i="27" l="1"/>
  <c r="N34" i="27"/>
  <c r="H63" i="27"/>
  <c r="I63" i="27"/>
  <c r="F62" i="27"/>
  <c r="O34" i="27" l="1"/>
  <c r="H64" i="27"/>
  <c r="I64" i="27"/>
  <c r="F63" i="27"/>
  <c r="Q34" i="27" l="1"/>
  <c r="M35" i="27" s="1"/>
  <c r="F64" i="27"/>
  <c r="H65" i="27"/>
  <c r="I65" i="27"/>
  <c r="P35" i="27" l="1"/>
  <c r="N35" i="27"/>
  <c r="I66" i="27"/>
  <c r="F65" i="27"/>
  <c r="H66" i="27"/>
  <c r="O35" i="27" l="1"/>
  <c r="Q35" i="27" s="1"/>
  <c r="M36" i="27" s="1"/>
  <c r="H67" i="27"/>
  <c r="F66" i="27"/>
  <c r="I67" i="27"/>
  <c r="P36" i="27" l="1"/>
  <c r="N36" i="27"/>
  <c r="I68" i="27"/>
  <c r="F67" i="27"/>
  <c r="H68" i="27"/>
  <c r="O36" i="27" l="1"/>
  <c r="Q36" i="27" s="1"/>
  <c r="M37" i="27" s="1"/>
  <c r="F68" i="27"/>
  <c r="H69" i="27"/>
  <c r="I69" i="27"/>
  <c r="P37" i="27" l="1"/>
  <c r="N37" i="27"/>
  <c r="H70" i="27"/>
  <c r="F69" i="27"/>
  <c r="I70" i="27"/>
  <c r="O37" i="27" l="1"/>
  <c r="Q37" i="27" s="1"/>
  <c r="M38" i="27" s="1"/>
  <c r="F70" i="27"/>
  <c r="H71" i="27"/>
  <c r="I71" i="27"/>
  <c r="N38" i="27" l="1"/>
  <c r="P38" i="27"/>
  <c r="F71" i="27"/>
  <c r="H72" i="27"/>
  <c r="I72" i="27"/>
  <c r="O38" i="27" l="1"/>
  <c r="Q38" i="27" s="1"/>
  <c r="M39" i="27" s="1"/>
  <c r="I73" i="27"/>
  <c r="F72" i="27"/>
  <c r="H73" i="27"/>
  <c r="N39" i="27" l="1"/>
  <c r="P39" i="27"/>
  <c r="H74" i="27"/>
  <c r="F73" i="27"/>
  <c r="I74" i="27"/>
  <c r="O39" i="27" l="1"/>
  <c r="Q39" i="27" s="1"/>
  <c r="M40" i="27" s="1"/>
  <c r="H75" i="27"/>
  <c r="F74" i="27"/>
  <c r="I75" i="27"/>
  <c r="P40" i="27" l="1"/>
  <c r="N40" i="27"/>
  <c r="F75" i="27"/>
  <c r="H76" i="27"/>
  <c r="I76" i="27"/>
  <c r="O40" i="27" l="1"/>
  <c r="Q40" i="27" s="1"/>
  <c r="M41" i="27" s="1"/>
  <c r="I77" i="27"/>
  <c r="F76" i="27"/>
  <c r="H77" i="27"/>
  <c r="N41" i="27" l="1"/>
  <c r="P41" i="27"/>
  <c r="H78" i="27"/>
  <c r="F77" i="27"/>
  <c r="I78" i="27"/>
  <c r="O41" i="27" l="1"/>
  <c r="Q41" i="27" s="1"/>
  <c r="M42" i="27" s="1"/>
  <c r="H79" i="27"/>
  <c r="F78" i="27"/>
  <c r="I79" i="27"/>
  <c r="P42" i="27" l="1"/>
  <c r="N42" i="27"/>
  <c r="F79" i="27"/>
  <c r="H80" i="27"/>
  <c r="I80" i="27"/>
  <c r="O42" i="27" l="1"/>
  <c r="Q42" i="27" s="1"/>
  <c r="M43" i="27" s="1"/>
  <c r="I81" i="27"/>
  <c r="F80" i="27"/>
  <c r="H81" i="27"/>
  <c r="N43" i="27" l="1"/>
  <c r="P43" i="27"/>
  <c r="O43" i="27" s="1"/>
  <c r="H82" i="27"/>
  <c r="F81" i="27"/>
  <c r="I82" i="27"/>
  <c r="Q43" i="27" l="1"/>
  <c r="M44" i="27" s="1"/>
  <c r="H83" i="27"/>
  <c r="F82" i="27"/>
  <c r="I83" i="27"/>
  <c r="N44" i="27" l="1"/>
  <c r="P44" i="27"/>
  <c r="F83" i="27"/>
  <c r="H84" i="27"/>
  <c r="I84" i="27"/>
  <c r="O44" i="27" l="1"/>
  <c r="Q44" i="27" s="1"/>
  <c r="M45" i="27" s="1"/>
  <c r="I85" i="27"/>
  <c r="F84" i="27"/>
  <c r="H85" i="27"/>
  <c r="P45" i="27" l="1"/>
  <c r="N45" i="27"/>
  <c r="H86" i="27"/>
  <c r="F85" i="27"/>
  <c r="I86" i="27"/>
  <c r="O45" i="27" l="1"/>
  <c r="H87" i="27"/>
  <c r="F86" i="27"/>
  <c r="I87" i="27"/>
  <c r="Q45" i="27" l="1"/>
  <c r="M46" i="27" s="1"/>
  <c r="F87" i="27"/>
  <c r="H88" i="27"/>
  <c r="I88" i="27"/>
  <c r="N46" i="27" l="1"/>
  <c r="P46" i="27"/>
  <c r="I89" i="27"/>
  <c r="F88" i="27"/>
  <c r="H89" i="27"/>
  <c r="O46" i="27" l="1"/>
  <c r="Q46" i="27" s="1"/>
  <c r="M47" i="27" s="1"/>
  <c r="H90" i="27"/>
  <c r="I90" i="27"/>
  <c r="F89" i="27"/>
  <c r="N47" i="27" l="1"/>
  <c r="P47" i="27"/>
  <c r="O47" i="27" s="1"/>
  <c r="F90" i="27"/>
  <c r="I91" i="27"/>
  <c r="H91" i="27"/>
  <c r="Q47" i="27" l="1"/>
  <c r="M48" i="27" s="1"/>
  <c r="F91" i="27"/>
  <c r="I92" i="27"/>
  <c r="H92" i="27"/>
  <c r="N48" i="27" l="1"/>
  <c r="P48" i="27"/>
  <c r="O48" i="27" s="1"/>
  <c r="I93" i="27"/>
  <c r="F92" i="27"/>
  <c r="H93" i="27"/>
  <c r="Q48" i="27" l="1"/>
  <c r="M49" i="27" s="1"/>
  <c r="H94" i="27"/>
  <c r="F93" i="27"/>
  <c r="I94" i="27"/>
  <c r="P49" i="27" l="1"/>
  <c r="N49" i="27"/>
  <c r="F94" i="27"/>
  <c r="I95" i="27"/>
  <c r="H95" i="27"/>
  <c r="O49" i="27" l="1"/>
  <c r="F95" i="27"/>
  <c r="H96" i="27"/>
  <c r="I96" i="27"/>
  <c r="Q49" i="27" l="1"/>
  <c r="M50" i="27" s="1"/>
  <c r="I97" i="27"/>
  <c r="F96" i="27"/>
  <c r="H97" i="27"/>
  <c r="P50" i="27" l="1"/>
  <c r="N50" i="27"/>
  <c r="H98" i="27"/>
  <c r="I98" i="27"/>
  <c r="F97" i="27"/>
  <c r="O50" i="27" l="1"/>
  <c r="F98" i="27"/>
  <c r="I99" i="27"/>
  <c r="H99" i="27"/>
  <c r="Q50" i="27" l="1"/>
  <c r="M51" i="27" s="1"/>
  <c r="F99" i="27"/>
  <c r="I100" i="27"/>
  <c r="H100" i="27"/>
  <c r="N51" i="27" l="1"/>
  <c r="P51" i="27"/>
  <c r="O51" i="27" s="1"/>
  <c r="I101" i="27"/>
  <c r="F100" i="27"/>
  <c r="H101" i="27"/>
  <c r="Q51" i="27" l="1"/>
  <c r="M52" i="27" s="1"/>
  <c r="H102" i="27"/>
  <c r="F101" i="27"/>
  <c r="I102" i="27"/>
  <c r="N52" i="27" l="1"/>
  <c r="P52" i="27"/>
  <c r="O52" i="27" s="1"/>
  <c r="Q52" i="27" s="1"/>
  <c r="F102" i="27"/>
  <c r="I103" i="27"/>
  <c r="H103" i="27"/>
  <c r="M53" i="27" l="1"/>
  <c r="F103" i="27"/>
  <c r="H104" i="27"/>
  <c r="I104" i="27"/>
  <c r="N53" i="27" l="1"/>
  <c r="P53" i="27"/>
  <c r="I105" i="27"/>
  <c r="F104" i="27"/>
  <c r="H105" i="27"/>
  <c r="O53" i="27" l="1"/>
  <c r="Q53" i="27" s="1"/>
  <c r="M54" i="27" s="1"/>
  <c r="H106" i="27"/>
  <c r="I106" i="27"/>
  <c r="F105" i="27"/>
  <c r="N54" i="27" l="1"/>
  <c r="P54" i="27"/>
  <c r="O54" i="27" s="1"/>
  <c r="F106" i="27"/>
  <c r="I107" i="27"/>
  <c r="H107" i="27"/>
  <c r="Q54" i="27" l="1"/>
  <c r="M55" i="27" s="1"/>
  <c r="F107" i="27"/>
  <c r="I108" i="27"/>
  <c r="H108" i="27"/>
  <c r="P55" i="27" l="1"/>
  <c r="N55" i="27"/>
  <c r="I109" i="27"/>
  <c r="F108" i="27"/>
  <c r="H109" i="27"/>
  <c r="O55" i="27" l="1"/>
  <c r="H110" i="27"/>
  <c r="F109" i="27"/>
  <c r="I110" i="27"/>
  <c r="Q55" i="27" l="1"/>
  <c r="M56" i="27" s="1"/>
  <c r="F110" i="27"/>
  <c r="I111" i="27"/>
  <c r="H111" i="27"/>
  <c r="N56" i="27" l="1"/>
  <c r="P56" i="27"/>
  <c r="O56" i="27" s="1"/>
  <c r="F111" i="27"/>
  <c r="H112" i="27"/>
  <c r="I112" i="27"/>
  <c r="Q56" i="27" l="1"/>
  <c r="M57" i="27" s="1"/>
  <c r="H113" i="27"/>
  <c r="F112" i="27"/>
  <c r="I113" i="27"/>
  <c r="N57" i="27" l="1"/>
  <c r="P57" i="27"/>
  <c r="F113" i="27"/>
  <c r="H114" i="27"/>
  <c r="I114" i="27"/>
  <c r="O57" i="27" l="1"/>
  <c r="Q57" i="27" s="1"/>
  <c r="M58" i="27" s="1"/>
  <c r="I115" i="27"/>
  <c r="H115" i="27"/>
  <c r="F114" i="27"/>
  <c r="P58" i="27" l="1"/>
  <c r="N58" i="27"/>
  <c r="H116" i="27"/>
  <c r="F115" i="27"/>
  <c r="I116" i="27"/>
  <c r="O58" i="27" l="1"/>
  <c r="Q58" i="27" s="1"/>
  <c r="M59" i="27" s="1"/>
  <c r="H117" i="27"/>
  <c r="F116" i="27"/>
  <c r="I117" i="27"/>
  <c r="N59" i="27" l="1"/>
  <c r="P59" i="27"/>
  <c r="F117" i="27"/>
  <c r="H118" i="27"/>
  <c r="I118" i="27"/>
  <c r="O59" i="27" l="1"/>
  <c r="Q59" i="27" s="1"/>
  <c r="M60" i="27" s="1"/>
  <c r="I119" i="27"/>
  <c r="H119" i="27"/>
  <c r="F118" i="27"/>
  <c r="N60" i="27" l="1"/>
  <c r="P60" i="27"/>
  <c r="O60" i="27" s="1"/>
  <c r="H120" i="27"/>
  <c r="F119" i="27"/>
  <c r="I120" i="27"/>
  <c r="Q60" i="27" l="1"/>
  <c r="M61" i="27" s="1"/>
  <c r="H121" i="27"/>
  <c r="F120" i="27"/>
  <c r="I121" i="27"/>
  <c r="P61" i="27" l="1"/>
  <c r="N61" i="27"/>
  <c r="F121" i="27"/>
  <c r="H122" i="27"/>
  <c r="I122" i="27"/>
  <c r="O61" i="27" l="1"/>
  <c r="Q61" i="27" s="1"/>
  <c r="M62" i="27" s="1"/>
  <c r="I123" i="27"/>
  <c r="H123" i="27"/>
  <c r="F122" i="27"/>
  <c r="N62" i="27" l="1"/>
  <c r="P62" i="27"/>
  <c r="O62" i="27" s="1"/>
  <c r="H124" i="27"/>
  <c r="F123" i="27"/>
  <c r="I124" i="27"/>
  <c r="Q62" i="27" l="1"/>
  <c r="M63" i="27" s="1"/>
  <c r="H125" i="27"/>
  <c r="F124" i="27"/>
  <c r="I125" i="27"/>
  <c r="N63" i="27" l="1"/>
  <c r="P63" i="27"/>
  <c r="F125" i="27"/>
  <c r="H126" i="27"/>
  <c r="I126" i="27"/>
  <c r="O63" i="27" l="1"/>
  <c r="Q63" i="27" s="1"/>
  <c r="M64" i="27" s="1"/>
  <c r="I127" i="27"/>
  <c r="H127" i="27"/>
  <c r="F126" i="27"/>
  <c r="N64" i="27" l="1"/>
  <c r="P64" i="27"/>
  <c r="H128" i="27"/>
  <c r="F127" i="27"/>
  <c r="I128" i="27"/>
  <c r="O64" i="27" l="1"/>
  <c r="Q64" i="27" s="1"/>
  <c r="M65" i="27" s="1"/>
  <c r="H129" i="27"/>
  <c r="F128" i="27"/>
  <c r="I129" i="27"/>
  <c r="P65" i="27" l="1"/>
  <c r="N65" i="27"/>
  <c r="F129" i="27"/>
  <c r="H130" i="27"/>
  <c r="I130" i="27"/>
  <c r="O65" i="27" l="1"/>
  <c r="Q65" i="27" s="1"/>
  <c r="M66" i="27" s="1"/>
  <c r="I131" i="27"/>
  <c r="H131" i="27"/>
  <c r="F130" i="27"/>
  <c r="N66" i="27" l="1"/>
  <c r="P66" i="27"/>
  <c r="H132" i="27"/>
  <c r="F131" i="27"/>
  <c r="I132" i="27"/>
  <c r="O66" i="27" l="1"/>
  <c r="Q66" i="27" s="1"/>
  <c r="M67" i="27" s="1"/>
  <c r="H133" i="27"/>
  <c r="F132" i="27"/>
  <c r="I133" i="27"/>
  <c r="N67" i="27" l="1"/>
  <c r="P67" i="27"/>
  <c r="F133" i="27"/>
  <c r="H134" i="27"/>
  <c r="I134" i="27"/>
  <c r="O67" i="27" l="1"/>
  <c r="Q67" i="27" s="1"/>
  <c r="M68" i="27" s="1"/>
  <c r="I135" i="27"/>
  <c r="H135" i="27"/>
  <c r="F134" i="27"/>
  <c r="P68" i="27" l="1"/>
  <c r="N68" i="27"/>
  <c r="H136" i="27"/>
  <c r="F135" i="27"/>
  <c r="I136" i="27"/>
  <c r="O68" i="27" l="1"/>
  <c r="Q68" i="27" s="1"/>
  <c r="M69" i="27" s="1"/>
  <c r="H137" i="27"/>
  <c r="F136" i="27"/>
  <c r="I137" i="27"/>
  <c r="P69" i="27" l="1"/>
  <c r="N69" i="27"/>
  <c r="F137" i="27"/>
  <c r="H138" i="27"/>
  <c r="I138" i="27"/>
  <c r="O69" i="27" l="1"/>
  <c r="Q69" i="27" s="1"/>
  <c r="M70" i="27" s="1"/>
  <c r="I139" i="27"/>
  <c r="H139" i="27"/>
  <c r="F138" i="27"/>
  <c r="N70" i="27" l="1"/>
  <c r="P70" i="27"/>
  <c r="H140" i="27"/>
  <c r="F139" i="27"/>
  <c r="I140" i="27"/>
  <c r="O70" i="27" l="1"/>
  <c r="Q70" i="27" s="1"/>
  <c r="M71" i="27" s="1"/>
  <c r="H141" i="27"/>
  <c r="F140" i="27"/>
  <c r="I141" i="27"/>
  <c r="N71" i="27" l="1"/>
  <c r="P71" i="27"/>
  <c r="F141" i="27"/>
  <c r="H142" i="27"/>
  <c r="I142" i="27"/>
  <c r="O71" i="27" l="1"/>
  <c r="Q71" i="27" s="1"/>
  <c r="M72" i="27" s="1"/>
  <c r="I143" i="27"/>
  <c r="H143" i="27"/>
  <c r="F142" i="27"/>
  <c r="P72" i="27" l="1"/>
  <c r="N72" i="27"/>
  <c r="H144" i="27"/>
  <c r="F143" i="27"/>
  <c r="I144" i="27"/>
  <c r="O72" i="27" l="1"/>
  <c r="F144" i="27"/>
  <c r="I145" i="27"/>
  <c r="H145" i="27"/>
  <c r="Q72" i="27" l="1"/>
  <c r="M73" i="27" s="1"/>
  <c r="F145" i="27"/>
  <c r="H146" i="27"/>
  <c r="I146" i="27"/>
  <c r="P73" i="27" l="1"/>
  <c r="N73" i="27"/>
  <c r="I147" i="27"/>
  <c r="H147" i="27"/>
  <c r="F146" i="27"/>
  <c r="O73" i="27" l="1"/>
  <c r="Q73" i="27"/>
  <c r="M74" i="27" s="1"/>
  <c r="H148" i="27"/>
  <c r="F147" i="27"/>
  <c r="I148" i="27"/>
  <c r="P74" i="27" l="1"/>
  <c r="N74" i="27"/>
  <c r="F148" i="27"/>
  <c r="I149" i="27"/>
  <c r="H149" i="27"/>
  <c r="O74" i="27" l="1"/>
  <c r="Q74" i="27"/>
  <c r="M75" i="27" s="1"/>
  <c r="F149" i="27"/>
  <c r="H150" i="27"/>
  <c r="I150" i="27"/>
  <c r="P75" i="27" l="1"/>
  <c r="N75" i="27"/>
  <c r="I151" i="27"/>
  <c r="F150" i="27"/>
  <c r="H151" i="27"/>
  <c r="O75" i="27" l="1"/>
  <c r="Q75" i="27"/>
  <c r="M76" i="27" s="1"/>
  <c r="H152" i="27"/>
  <c r="F151" i="27"/>
  <c r="I152" i="27"/>
  <c r="N76" i="27" l="1"/>
  <c r="P76" i="27"/>
  <c r="O76" i="27" s="1"/>
  <c r="F152" i="27"/>
  <c r="I153" i="27"/>
  <c r="H153" i="27"/>
  <c r="Q76" i="27" l="1"/>
  <c r="M77" i="27" s="1"/>
  <c r="F153" i="27"/>
  <c r="H154" i="27"/>
  <c r="I154" i="27"/>
  <c r="P77" i="27" l="1"/>
  <c r="N77" i="27"/>
  <c r="I155" i="27"/>
  <c r="F154" i="27"/>
  <c r="H155" i="27"/>
  <c r="O77" i="27" l="1"/>
  <c r="Q77" i="27" s="1"/>
  <c r="M78" i="27" s="1"/>
  <c r="H156" i="27"/>
  <c r="F155" i="27"/>
  <c r="I156" i="27"/>
  <c r="N78" i="27" l="1"/>
  <c r="P78" i="27"/>
  <c r="F156" i="27"/>
  <c r="I157" i="27"/>
  <c r="H157" i="27"/>
  <c r="O78" i="27" l="1"/>
  <c r="Q78" i="27" s="1"/>
  <c r="M79" i="27" s="1"/>
  <c r="F157" i="27"/>
  <c r="I158" i="27"/>
  <c r="H158" i="27"/>
  <c r="N79" i="27" l="1"/>
  <c r="P79" i="27"/>
  <c r="I159" i="27"/>
  <c r="F158" i="27"/>
  <c r="H159" i="27"/>
  <c r="O79" i="27" l="1"/>
  <c r="Q79" i="27" s="1"/>
  <c r="M80" i="27" s="1"/>
  <c r="H160" i="27"/>
  <c r="F159" i="27"/>
  <c r="I160" i="27"/>
  <c r="N80" i="27" l="1"/>
  <c r="P80" i="27"/>
  <c r="O80" i="27" s="1"/>
  <c r="I161" i="27"/>
  <c r="F160" i="27"/>
  <c r="H161" i="27"/>
  <c r="Q80" i="27" l="1"/>
  <c r="M81" i="27" s="1"/>
  <c r="F161" i="27"/>
  <c r="H162" i="27"/>
  <c r="I162" i="27"/>
  <c r="P81" i="27" l="1"/>
  <c r="N81" i="27"/>
  <c r="I163" i="27"/>
  <c r="F162" i="27"/>
  <c r="H163" i="27"/>
  <c r="O81" i="27" l="1"/>
  <c r="Q81" i="27" s="1"/>
  <c r="M82" i="27" s="1"/>
  <c r="H164" i="27"/>
  <c r="F163" i="27"/>
  <c r="I164" i="27"/>
  <c r="P82" i="27" l="1"/>
  <c r="N82" i="27"/>
  <c r="H165" i="27"/>
  <c r="F164" i="27"/>
  <c r="I165" i="27"/>
  <c r="O82" i="27" l="1"/>
  <c r="Q82" i="27" s="1"/>
  <c r="M83" i="27" s="1"/>
  <c r="H166" i="27"/>
  <c r="F165" i="27"/>
  <c r="I166" i="27"/>
  <c r="P83" i="27" l="1"/>
  <c r="N83" i="27"/>
  <c r="F166" i="27"/>
  <c r="H167" i="27"/>
  <c r="I167" i="27"/>
  <c r="O83" i="27" l="1"/>
  <c r="Q83" i="27" s="1"/>
  <c r="M84" i="27" s="1"/>
  <c r="I168" i="27"/>
  <c r="H168" i="27"/>
  <c r="F167" i="27"/>
  <c r="P84" i="27" l="1"/>
  <c r="N84" i="27"/>
  <c r="H169" i="27"/>
  <c r="F168" i="27"/>
  <c r="I169" i="27"/>
  <c r="O84" i="27" l="1"/>
  <c r="Q84" i="27" s="1"/>
  <c r="M85" i="27" s="1"/>
  <c r="H170" i="27"/>
  <c r="F169" i="27"/>
  <c r="I170" i="27"/>
  <c r="P85" i="27" l="1"/>
  <c r="N85" i="27"/>
  <c r="F170" i="27"/>
  <c r="H171" i="27"/>
  <c r="I171" i="27"/>
  <c r="O85" i="27" l="1"/>
  <c r="Q85" i="27" s="1"/>
  <c r="M86" i="27" s="1"/>
  <c r="I172" i="27"/>
  <c r="H172" i="27"/>
  <c r="F171" i="27"/>
  <c r="P86" i="27" l="1"/>
  <c r="N86" i="27"/>
  <c r="H173" i="27"/>
  <c r="F172" i="27"/>
  <c r="I173" i="27"/>
  <c r="O86" i="27" l="1"/>
  <c r="Q86" i="27" s="1"/>
  <c r="M87" i="27" s="1"/>
  <c r="H174" i="27"/>
  <c r="F173" i="27"/>
  <c r="I174" i="27"/>
  <c r="N87" i="27" l="1"/>
  <c r="P87" i="27"/>
  <c r="F174" i="27"/>
  <c r="H175" i="27"/>
  <c r="I175" i="27"/>
  <c r="O87" i="27" l="1"/>
  <c r="Q87" i="27"/>
  <c r="M88" i="27" s="1"/>
  <c r="I176" i="27"/>
  <c r="H176" i="27"/>
  <c r="F175" i="27"/>
  <c r="N88" i="27" l="1"/>
  <c r="P88" i="27"/>
  <c r="H177" i="27"/>
  <c r="F176" i="27"/>
  <c r="I177" i="27"/>
  <c r="O88" i="27" l="1"/>
  <c r="Q88" i="27" s="1"/>
  <c r="M89" i="27" s="1"/>
  <c r="H178" i="27"/>
  <c r="F177" i="27"/>
  <c r="I178" i="27"/>
  <c r="N89" i="27" l="1"/>
  <c r="P89" i="27"/>
  <c r="F178" i="27"/>
  <c r="H179" i="27"/>
  <c r="I179" i="27"/>
  <c r="O89" i="27" l="1"/>
  <c r="Q89" i="27" s="1"/>
  <c r="M90" i="27" s="1"/>
  <c r="I180" i="27"/>
  <c r="H180" i="27"/>
  <c r="F179" i="27"/>
  <c r="N90" i="27" l="1"/>
  <c r="P90" i="27"/>
  <c r="H181" i="27"/>
  <c r="F180" i="27"/>
  <c r="I181" i="27"/>
  <c r="O90" i="27" l="1"/>
  <c r="Q90" i="27" s="1"/>
  <c r="M91" i="27" s="1"/>
  <c r="H182" i="27"/>
  <c r="F181" i="27"/>
  <c r="I182" i="27"/>
  <c r="N91" i="27" l="1"/>
  <c r="P91" i="27"/>
  <c r="F182" i="27"/>
  <c r="H183" i="27"/>
  <c r="I183" i="27"/>
  <c r="O91" i="27" l="1"/>
  <c r="Q91" i="27"/>
  <c r="M92" i="27" s="1"/>
  <c r="I184" i="27"/>
  <c r="H184" i="27"/>
  <c r="F183" i="27"/>
  <c r="P92" i="27" l="1"/>
  <c r="N92" i="27"/>
  <c r="H185" i="27"/>
  <c r="F184" i="27"/>
  <c r="I185" i="27"/>
  <c r="O92" i="27" l="1"/>
  <c r="H186" i="27"/>
  <c r="F185" i="27"/>
  <c r="I186" i="27"/>
  <c r="Q92" i="27" l="1"/>
  <c r="M93" i="27" s="1"/>
  <c r="F186" i="27"/>
  <c r="H187" i="27"/>
  <c r="I187" i="27"/>
  <c r="N93" i="27" l="1"/>
  <c r="P93" i="27"/>
  <c r="I188" i="27"/>
  <c r="H188" i="27"/>
  <c r="F187" i="27"/>
  <c r="O93" i="27" l="1"/>
  <c r="Q93" i="27" s="1"/>
  <c r="M94" i="27" s="1"/>
  <c r="H189" i="27"/>
  <c r="F188" i="27"/>
  <c r="I189" i="27"/>
  <c r="N94" i="27" l="1"/>
  <c r="P94" i="27"/>
  <c r="H190" i="27"/>
  <c r="F189" i="27"/>
  <c r="I190" i="27"/>
  <c r="O94" i="27" l="1"/>
  <c r="Q94" i="27" s="1"/>
  <c r="M95" i="27" s="1"/>
  <c r="F190" i="27"/>
  <c r="H191" i="27"/>
  <c r="I191" i="27"/>
  <c r="N95" i="27" l="1"/>
  <c r="P95" i="27"/>
  <c r="I192" i="27"/>
  <c r="H192" i="27"/>
  <c r="F191" i="27"/>
  <c r="O95" i="27" l="1"/>
  <c r="Q95" i="27" s="1"/>
  <c r="M96" i="27" s="1"/>
  <c r="H193" i="27"/>
  <c r="F192" i="27"/>
  <c r="I193" i="27"/>
  <c r="N96" i="27" l="1"/>
  <c r="P96" i="27"/>
  <c r="H194" i="27"/>
  <c r="F193" i="27"/>
  <c r="I194" i="27"/>
  <c r="O96" i="27" l="1"/>
  <c r="Q96" i="27" s="1"/>
  <c r="M97" i="27" s="1"/>
  <c r="F194" i="27"/>
  <c r="H195" i="27"/>
  <c r="I195" i="27"/>
  <c r="N97" i="27" l="1"/>
  <c r="P97" i="27"/>
  <c r="I196" i="27"/>
  <c r="H196" i="27"/>
  <c r="F195" i="27"/>
  <c r="O97" i="27" l="1"/>
  <c r="Q97" i="27" s="1"/>
  <c r="M98" i="27" s="1"/>
  <c r="H197" i="27"/>
  <c r="F196" i="27"/>
  <c r="I197" i="27"/>
  <c r="P98" i="27" l="1"/>
  <c r="N98" i="27"/>
  <c r="H198" i="27"/>
  <c r="F197" i="27"/>
  <c r="I198" i="27"/>
  <c r="O98" i="27" l="1"/>
  <c r="Q98" i="27" s="1"/>
  <c r="M99" i="27" s="1"/>
  <c r="F198" i="27"/>
  <c r="H199" i="27"/>
  <c r="I199" i="27"/>
  <c r="P99" i="27" l="1"/>
  <c r="N99" i="27"/>
  <c r="I200" i="27"/>
  <c r="H200" i="27"/>
  <c r="F199" i="27"/>
  <c r="O99" i="27" l="1"/>
  <c r="Q99" i="27" s="1"/>
  <c r="M100" i="27" s="1"/>
  <c r="H201" i="27"/>
  <c r="F200" i="27"/>
  <c r="I201" i="27"/>
  <c r="N100" i="27" l="1"/>
  <c r="P100" i="27"/>
  <c r="H202" i="27"/>
  <c r="F201" i="27"/>
  <c r="I202" i="27"/>
  <c r="O100" i="27" l="1"/>
  <c r="Q100" i="27" s="1"/>
  <c r="M101" i="27" s="1"/>
  <c r="F202" i="27"/>
  <c r="H203" i="27"/>
  <c r="I203" i="27"/>
  <c r="N101" i="27" l="1"/>
  <c r="P101" i="27"/>
  <c r="I204" i="27"/>
  <c r="H204" i="27"/>
  <c r="F203" i="27"/>
  <c r="O101" i="27" l="1"/>
  <c r="Q101" i="27" s="1"/>
  <c r="M102" i="27" s="1"/>
  <c r="H205" i="27"/>
  <c r="F204" i="27"/>
  <c r="I205" i="27"/>
  <c r="N102" i="27" l="1"/>
  <c r="P102" i="27"/>
  <c r="H206" i="27"/>
  <c r="F205" i="27"/>
  <c r="I206" i="27"/>
  <c r="O102" i="27" l="1"/>
  <c r="Q102" i="27" s="1"/>
  <c r="M103" i="27" s="1"/>
  <c r="F206" i="27"/>
  <c r="H207" i="27"/>
  <c r="I207" i="27"/>
  <c r="P103" i="27" l="1"/>
  <c r="N103" i="27"/>
  <c r="I208" i="27"/>
  <c r="H208" i="27"/>
  <c r="F207" i="27"/>
  <c r="O103" i="27" l="1"/>
  <c r="Q103" i="27" s="1"/>
  <c r="M104" i="27" s="1"/>
  <c r="H209" i="27"/>
  <c r="F208" i="27"/>
  <c r="I209" i="27"/>
  <c r="P104" i="27" l="1"/>
  <c r="N104" i="27"/>
  <c r="F209" i="27"/>
  <c r="I210" i="27"/>
  <c r="H210" i="27"/>
  <c r="O104" i="27" l="1"/>
  <c r="Q104" i="27" s="1"/>
  <c r="M105" i="27" s="1"/>
  <c r="F210" i="27"/>
  <c r="H211" i="27"/>
  <c r="I211" i="27"/>
  <c r="P105" i="27" l="1"/>
  <c r="N105" i="27"/>
  <c r="I212" i="27"/>
  <c r="F211" i="27"/>
  <c r="H212" i="27"/>
  <c r="O105" i="27" l="1"/>
  <c r="Q105" i="27" s="1"/>
  <c r="M106" i="27" s="1"/>
  <c r="H213" i="27"/>
  <c r="I213" i="27"/>
  <c r="F212" i="27"/>
  <c r="N106" i="27" l="1"/>
  <c r="P106" i="27"/>
  <c r="H214" i="27"/>
  <c r="F213" i="27"/>
  <c r="I214" i="27"/>
  <c r="O106" i="27" l="1"/>
  <c r="Q106" i="27" s="1"/>
  <c r="M107" i="27" s="1"/>
  <c r="F214" i="27"/>
  <c r="H215" i="27"/>
  <c r="I215" i="27"/>
  <c r="N107" i="27" l="1"/>
  <c r="P107" i="27"/>
  <c r="F215" i="27"/>
  <c r="I216" i="27"/>
  <c r="H216" i="27"/>
  <c r="O107" i="27" l="1"/>
  <c r="Q107" i="27" s="1"/>
  <c r="M108" i="27" s="1"/>
  <c r="I217" i="27"/>
  <c r="F216" i="27"/>
  <c r="H217" i="27"/>
  <c r="N108" i="27" l="1"/>
  <c r="P108" i="27"/>
  <c r="H218" i="27"/>
  <c r="F217" i="27"/>
  <c r="I218" i="27"/>
  <c r="O108" i="27" l="1"/>
  <c r="Q108" i="27" s="1"/>
  <c r="M109" i="27" s="1"/>
  <c r="H219" i="27"/>
  <c r="F218" i="27"/>
  <c r="I219" i="27"/>
  <c r="N109" i="27" l="1"/>
  <c r="P109" i="27"/>
  <c r="F219" i="27"/>
  <c r="I220" i="27"/>
  <c r="H220" i="27"/>
  <c r="O109" i="27" l="1"/>
  <c r="Q109" i="27" s="1"/>
  <c r="M110" i="27" s="1"/>
  <c r="I221" i="27"/>
  <c r="F220" i="27"/>
  <c r="H221" i="27"/>
  <c r="P110" i="27" l="1"/>
  <c r="N110" i="27"/>
  <c r="H222" i="27"/>
  <c r="F221" i="27"/>
  <c r="I222" i="27"/>
  <c r="O110" i="27" l="1"/>
  <c r="Q110" i="27" s="1"/>
  <c r="M111" i="27" s="1"/>
  <c r="H223" i="27"/>
  <c r="F222" i="27"/>
  <c r="I223" i="27"/>
  <c r="N111" i="27" l="1"/>
  <c r="P111" i="27"/>
  <c r="F223" i="27"/>
  <c r="I224" i="27"/>
  <c r="H224" i="27"/>
  <c r="O111" i="27" l="1"/>
  <c r="Q111" i="27" s="1"/>
  <c r="M112" i="27" s="1"/>
  <c r="I225" i="27"/>
  <c r="F224" i="27"/>
  <c r="H225" i="27"/>
  <c r="N112" i="27" l="1"/>
  <c r="P112" i="27"/>
  <c r="O112" i="27" s="1"/>
  <c r="H226" i="27"/>
  <c r="F225" i="27"/>
  <c r="I226" i="27"/>
  <c r="Q112" i="27" l="1"/>
  <c r="M113" i="27" s="1"/>
  <c r="H227" i="27"/>
  <c r="F226" i="27"/>
  <c r="I227" i="27"/>
  <c r="P113" i="27" l="1"/>
  <c r="N113" i="27"/>
  <c r="F227" i="27"/>
  <c r="I228" i="27"/>
  <c r="H228" i="27"/>
  <c r="O113" i="27" l="1"/>
  <c r="Q113" i="27" s="1"/>
  <c r="M114" i="27" s="1"/>
  <c r="I229" i="27"/>
  <c r="F228" i="27"/>
  <c r="H229" i="27"/>
  <c r="P114" i="27" l="1"/>
  <c r="N114" i="27"/>
  <c r="H230" i="27"/>
  <c r="F229" i="27"/>
  <c r="I230" i="27"/>
  <c r="O114" i="27" l="1"/>
  <c r="Q114" i="27" s="1"/>
  <c r="M115" i="27" s="1"/>
  <c r="H231" i="27"/>
  <c r="F230" i="27"/>
  <c r="I231" i="27"/>
  <c r="N115" i="27" l="1"/>
  <c r="P115" i="27"/>
  <c r="F231" i="27"/>
  <c r="I232" i="27"/>
  <c r="H232" i="27"/>
  <c r="O115" i="27" l="1"/>
  <c r="Q115" i="27" s="1"/>
  <c r="M116" i="27" s="1"/>
  <c r="I233" i="27"/>
  <c r="F232" i="27"/>
  <c r="H233" i="27"/>
  <c r="P116" i="27" l="1"/>
  <c r="N116" i="27"/>
  <c r="H234" i="27"/>
  <c r="F233" i="27"/>
  <c r="I234" i="27"/>
  <c r="O116" i="27" l="1"/>
  <c r="Q116" i="27" s="1"/>
  <c r="M117" i="27" s="1"/>
  <c r="H235" i="27"/>
  <c r="F234" i="27"/>
  <c r="I235" i="27"/>
  <c r="N117" i="27" l="1"/>
  <c r="P117" i="27"/>
  <c r="F235" i="27"/>
  <c r="I236" i="27"/>
  <c r="H236" i="27"/>
  <c r="O117" i="27" l="1"/>
  <c r="Q117" i="27" s="1"/>
  <c r="M118" i="27" s="1"/>
  <c r="I237" i="27"/>
  <c r="F236" i="27"/>
  <c r="H237" i="27"/>
  <c r="N118" i="27" l="1"/>
  <c r="P118" i="27"/>
  <c r="H238" i="27"/>
  <c r="F237" i="27"/>
  <c r="I238" i="27"/>
  <c r="O118" i="27" l="1"/>
  <c r="Q118" i="27" s="1"/>
  <c r="M119" i="27" s="1"/>
  <c r="H239" i="27"/>
  <c r="F238" i="27"/>
  <c r="I239" i="27"/>
  <c r="N119" i="27" l="1"/>
  <c r="P119" i="27"/>
  <c r="F239" i="27"/>
  <c r="I240" i="27"/>
  <c r="H240" i="27"/>
  <c r="O119" i="27" l="1"/>
  <c r="Q119" i="27" s="1"/>
  <c r="M120" i="27" s="1"/>
  <c r="I241" i="27"/>
  <c r="F240" i="27"/>
  <c r="H241" i="27"/>
  <c r="N120" i="27" l="1"/>
  <c r="P120" i="27"/>
  <c r="O120" i="27" s="1"/>
  <c r="H242" i="27"/>
  <c r="F241" i="27"/>
  <c r="I242" i="27"/>
  <c r="Q120" i="27" l="1"/>
  <c r="M121" i="27" s="1"/>
  <c r="H243" i="27"/>
  <c r="F242" i="27"/>
  <c r="I243" i="27"/>
  <c r="N121" i="27" l="1"/>
  <c r="P121" i="27"/>
  <c r="F243" i="27"/>
  <c r="I244" i="27"/>
  <c r="H244" i="27"/>
  <c r="O121" i="27" l="1"/>
  <c r="Q121" i="27" s="1"/>
  <c r="M122" i="27" s="1"/>
  <c r="I245" i="27"/>
  <c r="F244" i="27"/>
  <c r="H245" i="27"/>
  <c r="P122" i="27" l="1"/>
  <c r="N122" i="27"/>
  <c r="H246" i="27"/>
  <c r="F245" i="27"/>
  <c r="I246" i="27"/>
  <c r="O122" i="27" l="1"/>
  <c r="Q122" i="27" s="1"/>
  <c r="M123" i="27" s="1"/>
  <c r="H247" i="27"/>
  <c r="F246" i="27"/>
  <c r="I247" i="27"/>
  <c r="P123" i="27" l="1"/>
  <c r="N123" i="27"/>
  <c r="F247" i="27"/>
  <c r="I248" i="27"/>
  <c r="H248" i="27"/>
  <c r="O123" i="27" l="1"/>
  <c r="Q123" i="27" s="1"/>
  <c r="M124" i="27" s="1"/>
  <c r="I249" i="27"/>
  <c r="H249" i="27"/>
  <c r="F248" i="27"/>
  <c r="N124" i="27" l="1"/>
  <c r="P124" i="27"/>
  <c r="H250" i="27"/>
  <c r="F249" i="27"/>
  <c r="I250" i="27"/>
  <c r="O124" i="27" l="1"/>
  <c r="Q124" i="27" s="1"/>
  <c r="M125" i="27" s="1"/>
  <c r="H251" i="27"/>
  <c r="F250" i="27"/>
  <c r="I251" i="27"/>
  <c r="P125" i="27" l="1"/>
  <c r="N125" i="27"/>
  <c r="F251" i="27"/>
  <c r="H252" i="27"/>
  <c r="I252" i="27"/>
  <c r="O125" i="27" l="1"/>
  <c r="Q125" i="27" s="1"/>
  <c r="M126" i="27" s="1"/>
  <c r="I253" i="27"/>
  <c r="H253" i="27"/>
  <c r="F252" i="27"/>
  <c r="N126" i="27" l="1"/>
  <c r="P126" i="27"/>
  <c r="H254" i="27"/>
  <c r="F253" i="27"/>
  <c r="I254" i="27"/>
  <c r="O126" i="27" l="1"/>
  <c r="Q126" i="27" s="1"/>
  <c r="M127" i="27" s="1"/>
  <c r="H255" i="27"/>
  <c r="F254" i="27"/>
  <c r="I255" i="27"/>
  <c r="P127" i="27" l="1"/>
  <c r="N127" i="27"/>
  <c r="F255" i="27"/>
  <c r="H256" i="27"/>
  <c r="I256" i="27"/>
  <c r="O127" i="27" l="1"/>
  <c r="Q127" i="27" s="1"/>
  <c r="M128" i="27" s="1"/>
  <c r="I257" i="27"/>
  <c r="F256" i="27"/>
  <c r="H257" i="27"/>
  <c r="N128" i="27" l="1"/>
  <c r="P128" i="27"/>
  <c r="O128" i="27" s="1"/>
  <c r="H258" i="27"/>
  <c r="F257" i="27"/>
  <c r="I258" i="27"/>
  <c r="Q128" i="27" l="1"/>
  <c r="M129" i="27" s="1"/>
  <c r="F258" i="27"/>
  <c r="I259" i="27"/>
  <c r="H259" i="27"/>
  <c r="N129" i="27" l="1"/>
  <c r="P129" i="27"/>
  <c r="O129" i="27" s="1"/>
  <c r="F259" i="27"/>
  <c r="H260" i="27"/>
  <c r="I260" i="27"/>
  <c r="Q129" i="27" l="1"/>
  <c r="M130" i="27" s="1"/>
  <c r="I261" i="27"/>
  <c r="F260" i="27"/>
  <c r="H261" i="27"/>
  <c r="P130" i="27" l="1"/>
  <c r="N130" i="27"/>
  <c r="H262" i="27"/>
  <c r="F261" i="27"/>
  <c r="I262" i="27"/>
  <c r="O130" i="27" l="1"/>
  <c r="Q130" i="27" s="1"/>
  <c r="M131" i="27" s="1"/>
  <c r="H263" i="27"/>
  <c r="F262" i="27"/>
  <c r="I263" i="27"/>
  <c r="P131" i="27" l="1"/>
  <c r="N131" i="27"/>
  <c r="F263" i="27"/>
  <c r="I264" i="27"/>
  <c r="H264" i="27"/>
  <c r="O131" i="27" l="1"/>
  <c r="Q131" i="27" s="1"/>
  <c r="M132" i="27" s="1"/>
  <c r="I265" i="27"/>
  <c r="H265" i="27"/>
  <c r="F264" i="27"/>
  <c r="N132" i="27" l="1"/>
  <c r="P132" i="27"/>
  <c r="H266" i="27"/>
  <c r="F265" i="27"/>
  <c r="I266" i="27"/>
  <c r="O132" i="27" l="1"/>
  <c r="Q132" i="27" s="1"/>
  <c r="M133" i="27" s="1"/>
  <c r="H267" i="27"/>
  <c r="F266" i="27"/>
  <c r="I267" i="27"/>
  <c r="P133" i="27" l="1"/>
  <c r="N133" i="27"/>
  <c r="F267" i="27"/>
  <c r="H268" i="27"/>
  <c r="I268" i="27"/>
  <c r="O133" i="27" l="1"/>
  <c r="Q133" i="27" s="1"/>
  <c r="M134" i="27" s="1"/>
  <c r="I269" i="27"/>
  <c r="H269" i="27"/>
  <c r="F268" i="27"/>
  <c r="N134" i="27" l="1"/>
  <c r="P134" i="27"/>
  <c r="O134" i="27" s="1"/>
  <c r="H270" i="27"/>
  <c r="F269" i="27"/>
  <c r="I270" i="27"/>
  <c r="Q134" i="27" l="1"/>
  <c r="M135" i="27" s="1"/>
  <c r="H271" i="27"/>
  <c r="F270" i="27"/>
  <c r="I271" i="27"/>
  <c r="P135" i="27" l="1"/>
  <c r="N135" i="27"/>
  <c r="F271" i="27"/>
  <c r="H272" i="27"/>
  <c r="I272" i="27"/>
  <c r="O135" i="27" l="1"/>
  <c r="Q135" i="27" s="1"/>
  <c r="M136" i="27" s="1"/>
  <c r="I273" i="27"/>
  <c r="F272" i="27"/>
  <c r="H273" i="27"/>
  <c r="P136" i="27" l="1"/>
  <c r="N136" i="27"/>
  <c r="H274" i="27"/>
  <c r="F273" i="27"/>
  <c r="I274" i="27"/>
  <c r="O136" i="27" l="1"/>
  <c r="Q136" i="27" s="1"/>
  <c r="M137" i="27" s="1"/>
  <c r="F274" i="27"/>
  <c r="I275" i="27"/>
  <c r="H275" i="27"/>
  <c r="N137" i="27" l="1"/>
  <c r="P137" i="27"/>
  <c r="F275" i="27"/>
  <c r="H276" i="27"/>
  <c r="I276" i="27"/>
  <c r="O137" i="27" l="1"/>
  <c r="Q137" i="27"/>
  <c r="M138" i="27" s="1"/>
  <c r="I277" i="27"/>
  <c r="F276" i="27"/>
  <c r="H277" i="27"/>
  <c r="P138" i="27" l="1"/>
  <c r="N138" i="27"/>
  <c r="H278" i="27"/>
  <c r="F277" i="27"/>
  <c r="I278" i="27"/>
  <c r="O138" i="27" l="1"/>
  <c r="Q138" i="27" s="1"/>
  <c r="M139" i="27" s="1"/>
  <c r="H279" i="27"/>
  <c r="F278" i="27"/>
  <c r="I279" i="27"/>
  <c r="P139" i="27" l="1"/>
  <c r="N139" i="27"/>
  <c r="F279" i="27"/>
  <c r="I280" i="27"/>
  <c r="H280" i="27"/>
  <c r="O139" i="27" l="1"/>
  <c r="Q139" i="27" s="1"/>
  <c r="M140" i="27" s="1"/>
  <c r="I281" i="27"/>
  <c r="H281" i="27"/>
  <c r="F280" i="27"/>
  <c r="N140" i="27" l="1"/>
  <c r="P140" i="27"/>
  <c r="O140" i="27" s="1"/>
  <c r="H282" i="27"/>
  <c r="F281" i="27"/>
  <c r="I282" i="27"/>
  <c r="Q140" i="27" l="1"/>
  <c r="M141" i="27" s="1"/>
  <c r="H283" i="27"/>
  <c r="F282" i="27"/>
  <c r="I283" i="27"/>
  <c r="N141" i="27" l="1"/>
  <c r="P141" i="27"/>
  <c r="O141" i="27" s="1"/>
  <c r="F283" i="27"/>
  <c r="H284" i="27"/>
  <c r="I284" i="27"/>
  <c r="Q141" i="27" l="1"/>
  <c r="M142" i="27" s="1"/>
  <c r="I285" i="27"/>
  <c r="H285" i="27"/>
  <c r="F284" i="27"/>
  <c r="N142" i="27" l="1"/>
  <c r="P142" i="27"/>
  <c r="O142" i="27" s="1"/>
  <c r="H286" i="27"/>
  <c r="F285" i="27"/>
  <c r="I286" i="27"/>
  <c r="Q142" i="27" l="1"/>
  <c r="M143" i="27" s="1"/>
  <c r="H287" i="27"/>
  <c r="I287" i="27"/>
  <c r="F286" i="27"/>
  <c r="N143" i="27" l="1"/>
  <c r="P143" i="27"/>
  <c r="O143" i="27" s="1"/>
  <c r="H288" i="27"/>
  <c r="I288" i="27"/>
  <c r="F287" i="27"/>
  <c r="Q143" i="27" l="1"/>
  <c r="M144" i="27" s="1"/>
  <c r="F288" i="27"/>
  <c r="H289" i="27"/>
  <c r="I289" i="27"/>
  <c r="N144" i="27" l="1"/>
  <c r="P144" i="27"/>
  <c r="O144" i="27" s="1"/>
  <c r="I290" i="27"/>
  <c r="F289" i="27"/>
  <c r="H290" i="27"/>
  <c r="Q144" i="27" l="1"/>
  <c r="M145" i="27" s="1"/>
  <c r="H291" i="27"/>
  <c r="I291" i="27"/>
  <c r="F290" i="27"/>
  <c r="P145" i="27" l="1"/>
  <c r="N145" i="27"/>
  <c r="H292" i="27"/>
  <c r="I292" i="27"/>
  <c r="F291" i="27"/>
  <c r="O145" i="27" l="1"/>
  <c r="F292" i="27"/>
  <c r="H293" i="27"/>
  <c r="I293" i="27"/>
  <c r="Q145" i="27" l="1"/>
  <c r="M146" i="27" s="1"/>
  <c r="I294" i="27"/>
  <c r="F293" i="27"/>
  <c r="H294" i="27"/>
  <c r="N146" i="27" l="1"/>
  <c r="P146" i="27"/>
  <c r="H295" i="27"/>
  <c r="I295" i="27"/>
  <c r="F294" i="27"/>
  <c r="O146" i="27" l="1"/>
  <c r="Q146" i="27" s="1"/>
  <c r="M147" i="27" s="1"/>
  <c r="H296" i="27"/>
  <c r="I296" i="27"/>
  <c r="F295" i="27"/>
  <c r="N147" i="27" l="1"/>
  <c r="P147" i="27"/>
  <c r="F296" i="27"/>
  <c r="H297" i="27"/>
  <c r="I297" i="27"/>
  <c r="O147" i="27" l="1"/>
  <c r="Q147" i="27" s="1"/>
  <c r="M148" i="27" s="1"/>
  <c r="I298" i="27"/>
  <c r="F297" i="27"/>
  <c r="H298" i="27"/>
  <c r="N148" i="27" l="1"/>
  <c r="P148" i="27"/>
  <c r="H299" i="27"/>
  <c r="I299" i="27"/>
  <c r="F298" i="27"/>
  <c r="O148" i="27" l="1"/>
  <c r="Q148" i="27" s="1"/>
  <c r="M149" i="27" s="1"/>
  <c r="H300" i="27"/>
  <c r="I300" i="27"/>
  <c r="F299" i="27"/>
  <c r="N149" i="27" l="1"/>
  <c r="P149" i="27"/>
  <c r="F300" i="27"/>
  <c r="H301" i="27"/>
  <c r="I301" i="27"/>
  <c r="O149" i="27" l="1"/>
  <c r="Q149" i="27" s="1"/>
  <c r="M150" i="27" s="1"/>
  <c r="I302" i="27"/>
  <c r="F301" i="27"/>
  <c r="H302" i="27"/>
  <c r="N150" i="27" l="1"/>
  <c r="P150" i="27"/>
  <c r="H303" i="27"/>
  <c r="I303" i="27"/>
  <c r="F302" i="27"/>
  <c r="O150" i="27" l="1"/>
  <c r="Q150" i="27" s="1"/>
  <c r="M151" i="27" s="1"/>
  <c r="H304" i="27"/>
  <c r="I304" i="27"/>
  <c r="F303" i="27"/>
  <c r="N151" i="27" l="1"/>
  <c r="P151" i="27"/>
  <c r="F304" i="27"/>
  <c r="H305" i="27"/>
  <c r="I305" i="27"/>
  <c r="O151" i="27" l="1"/>
  <c r="Q151" i="27" s="1"/>
  <c r="M152" i="27" s="1"/>
  <c r="I306" i="27"/>
  <c r="F305" i="27"/>
  <c r="H306" i="27"/>
  <c r="N152" i="27" l="1"/>
  <c r="P152" i="27"/>
  <c r="H307" i="27"/>
  <c r="I307" i="27"/>
  <c r="F306" i="27"/>
  <c r="O152" i="27" l="1"/>
  <c r="Q152" i="27"/>
  <c r="M153" i="27" s="1"/>
  <c r="H308" i="27"/>
  <c r="I308" i="27"/>
  <c r="F307" i="27"/>
  <c r="N153" i="27" l="1"/>
  <c r="P153" i="27"/>
  <c r="O153" i="27" s="1"/>
  <c r="F308" i="27"/>
  <c r="H309" i="27"/>
  <c r="I309" i="27"/>
  <c r="Q153" i="27" l="1"/>
  <c r="M154" i="27" s="1"/>
  <c r="I310" i="27"/>
  <c r="F309" i="27"/>
  <c r="H310" i="27"/>
  <c r="P154" i="27" l="1"/>
  <c r="N154" i="27"/>
  <c r="H311" i="27"/>
  <c r="I311" i="27"/>
  <c r="F310" i="27"/>
  <c r="O154" i="27" l="1"/>
  <c r="Q154" i="27" s="1"/>
  <c r="M155" i="27" s="1"/>
  <c r="H312" i="27"/>
  <c r="I312" i="27"/>
  <c r="F311" i="27"/>
  <c r="N155" i="27" l="1"/>
  <c r="P155" i="27"/>
  <c r="F312" i="27"/>
  <c r="H313" i="27"/>
  <c r="I313" i="27"/>
  <c r="O155" i="27" l="1"/>
  <c r="Q155" i="27" s="1"/>
  <c r="M156" i="27" s="1"/>
  <c r="I314" i="27"/>
  <c r="F313" i="27"/>
  <c r="H314" i="27"/>
  <c r="N156" i="27" l="1"/>
  <c r="P156" i="27"/>
  <c r="H315" i="27"/>
  <c r="I315" i="27"/>
  <c r="F314" i="27"/>
  <c r="O156" i="27" l="1"/>
  <c r="Q156" i="27" s="1"/>
  <c r="M157" i="27" s="1"/>
  <c r="H316" i="27"/>
  <c r="I316" i="27"/>
  <c r="F315" i="27"/>
  <c r="N157" i="27" l="1"/>
  <c r="P157" i="27"/>
  <c r="F316" i="27"/>
  <c r="H317" i="27"/>
  <c r="I317" i="27"/>
  <c r="O157" i="27" l="1"/>
  <c r="Q157" i="27" s="1"/>
  <c r="M158" i="27" s="1"/>
  <c r="I318" i="27"/>
  <c r="F317" i="27"/>
  <c r="H318" i="27"/>
  <c r="P158" i="27" l="1"/>
  <c r="N158" i="27"/>
  <c r="H319" i="27"/>
  <c r="I319" i="27"/>
  <c r="F318" i="27"/>
  <c r="O158" i="27" l="1"/>
  <c r="Q158" i="27" s="1"/>
  <c r="M159" i="27" s="1"/>
  <c r="H320" i="27"/>
  <c r="I320" i="27"/>
  <c r="F319" i="27"/>
  <c r="P159" i="27" l="1"/>
  <c r="N159" i="27"/>
  <c r="F320" i="27"/>
  <c r="H321" i="27"/>
  <c r="I321" i="27"/>
  <c r="O159" i="27" l="1"/>
  <c r="Q159" i="27" s="1"/>
  <c r="M160" i="27" s="1"/>
  <c r="I322" i="27"/>
  <c r="F321" i="27"/>
  <c r="H322" i="27"/>
  <c r="N160" i="27" l="1"/>
  <c r="P160" i="27"/>
  <c r="F322" i="27"/>
  <c r="H323" i="27"/>
  <c r="I323" i="27"/>
  <c r="O160" i="27" l="1"/>
  <c r="Q160" i="27" s="1"/>
  <c r="M161" i="27" s="1"/>
  <c r="F323" i="27"/>
  <c r="H324" i="27"/>
  <c r="I324" i="27"/>
  <c r="P161" i="27" l="1"/>
  <c r="N161" i="27"/>
  <c r="I325" i="27"/>
  <c r="H325" i="27"/>
  <c r="F324" i="27"/>
  <c r="O161" i="27" l="1"/>
  <c r="H326" i="27"/>
  <c r="F325" i="27"/>
  <c r="I326" i="27"/>
  <c r="Q161" i="27" l="1"/>
  <c r="M162" i="27" s="1"/>
  <c r="H327" i="27"/>
  <c r="F326" i="27"/>
  <c r="I327" i="27"/>
  <c r="P162" i="27" l="1"/>
  <c r="N162" i="27"/>
  <c r="F327" i="27"/>
  <c r="H328" i="27"/>
  <c r="I328" i="27"/>
  <c r="O162" i="27" l="1"/>
  <c r="Q162" i="27" s="1"/>
  <c r="M163" i="27" s="1"/>
  <c r="I329" i="27"/>
  <c r="F328" i="27"/>
  <c r="H329" i="27"/>
  <c r="N163" i="27" l="1"/>
  <c r="P163" i="27"/>
  <c r="H330" i="27"/>
  <c r="F329" i="27"/>
  <c r="I330" i="27"/>
  <c r="O163" i="27" l="1"/>
  <c r="Q163" i="27" s="1"/>
  <c r="M164" i="27" s="1"/>
  <c r="F330" i="27"/>
  <c r="I331" i="27"/>
  <c r="H331" i="27"/>
  <c r="N164" i="27" l="1"/>
  <c r="P164" i="27"/>
  <c r="O164" i="27" s="1"/>
  <c r="F331" i="27"/>
  <c r="H332" i="27"/>
  <c r="I332" i="27"/>
  <c r="Q164" i="27" l="1"/>
  <c r="M165" i="27" s="1"/>
  <c r="I333" i="27"/>
  <c r="F332" i="27"/>
  <c r="H333" i="27"/>
  <c r="N165" i="27" l="1"/>
  <c r="P165" i="27"/>
  <c r="O165" i="27" s="1"/>
  <c r="H334" i="27"/>
  <c r="F333" i="27"/>
  <c r="I334" i="27"/>
  <c r="Q165" i="27" l="1"/>
  <c r="M166" i="27" s="1"/>
  <c r="H335" i="27"/>
  <c r="F334" i="27"/>
  <c r="I335" i="27"/>
  <c r="P166" i="27" l="1"/>
  <c r="N166" i="27"/>
  <c r="F335" i="27"/>
  <c r="I336" i="27"/>
  <c r="H336" i="27"/>
  <c r="O166" i="27" l="1"/>
  <c r="Q166" i="27" s="1"/>
  <c r="M167" i="27" s="1"/>
  <c r="I337" i="27"/>
  <c r="H337" i="27"/>
  <c r="F336" i="27"/>
  <c r="N167" i="27" l="1"/>
  <c r="P167" i="27"/>
  <c r="H338" i="27"/>
  <c r="F337" i="27"/>
  <c r="I338" i="27"/>
  <c r="O167" i="27" l="1"/>
  <c r="Q167" i="27" s="1"/>
  <c r="M168" i="27" s="1"/>
  <c r="H339" i="27"/>
  <c r="F338" i="27"/>
  <c r="I339" i="27"/>
  <c r="N168" i="27" l="1"/>
  <c r="P168" i="27"/>
  <c r="F339" i="27"/>
  <c r="H340" i="27"/>
  <c r="I340" i="27"/>
  <c r="O168" i="27" l="1"/>
  <c r="Q168" i="27" s="1"/>
  <c r="M169" i="27" s="1"/>
  <c r="I341" i="27"/>
  <c r="H341" i="27"/>
  <c r="F340" i="27"/>
  <c r="N169" i="27" l="1"/>
  <c r="P169" i="27"/>
  <c r="H342" i="27"/>
  <c r="F341" i="27"/>
  <c r="I342" i="27"/>
  <c r="O169" i="27" l="1"/>
  <c r="Q169" i="27" s="1"/>
  <c r="M170" i="27" s="1"/>
  <c r="H343" i="27"/>
  <c r="F342" i="27"/>
  <c r="I343" i="27"/>
  <c r="N170" i="27" l="1"/>
  <c r="P170" i="27"/>
  <c r="F343" i="27"/>
  <c r="H344" i="27"/>
  <c r="I344" i="27"/>
  <c r="O170" i="27" l="1"/>
  <c r="Q170" i="27" s="1"/>
  <c r="M171" i="27" s="1"/>
  <c r="I345" i="27"/>
  <c r="F344" i="27"/>
  <c r="H345" i="27"/>
  <c r="N171" i="27" l="1"/>
  <c r="P171" i="27"/>
  <c r="H346" i="27"/>
  <c r="F345" i="27"/>
  <c r="I346" i="27"/>
  <c r="O171" i="27" l="1"/>
  <c r="Q171" i="27" s="1"/>
  <c r="M172" i="27" s="1"/>
  <c r="F346" i="27"/>
  <c r="I347" i="27"/>
  <c r="H347" i="27"/>
  <c r="N172" i="27" l="1"/>
  <c r="P172" i="27"/>
  <c r="F347" i="27"/>
  <c r="H348" i="27"/>
  <c r="I348" i="27"/>
  <c r="O172" i="27" l="1"/>
  <c r="Q172" i="27" s="1"/>
  <c r="M173" i="27" s="1"/>
  <c r="I349" i="27"/>
  <c r="F348" i="27"/>
  <c r="H349" i="27"/>
  <c r="N173" i="27" l="1"/>
  <c r="P173" i="27"/>
  <c r="O173" i="27" s="1"/>
  <c r="H350" i="27"/>
  <c r="F349" i="27"/>
  <c r="I350" i="27"/>
  <c r="Q173" i="27" l="1"/>
  <c r="M174" i="27" s="1"/>
  <c r="H351" i="27"/>
  <c r="F350" i="27"/>
  <c r="I351" i="27"/>
  <c r="N174" i="27" l="1"/>
  <c r="P174" i="27"/>
  <c r="F351" i="27"/>
  <c r="I352" i="27"/>
  <c r="H352" i="27"/>
  <c r="O174" i="27" l="1"/>
  <c r="Q174" i="27" s="1"/>
  <c r="M175" i="27" s="1"/>
  <c r="I353" i="27"/>
  <c r="H353" i="27"/>
  <c r="F352" i="27"/>
  <c r="N175" i="27" l="1"/>
  <c r="P175" i="27"/>
  <c r="H354" i="27"/>
  <c r="F353" i="27"/>
  <c r="I354" i="27"/>
  <c r="O175" i="27" l="1"/>
  <c r="Q175" i="27" s="1"/>
  <c r="M176" i="27" s="1"/>
  <c r="H355" i="27"/>
  <c r="F354" i="27"/>
  <c r="I355" i="27"/>
  <c r="N176" i="27" l="1"/>
  <c r="P176" i="27"/>
  <c r="F355" i="27"/>
  <c r="H356" i="27"/>
  <c r="I356" i="27"/>
  <c r="O176" i="27" l="1"/>
  <c r="Q176" i="27" s="1"/>
  <c r="M177" i="27" s="1"/>
  <c r="I357" i="27"/>
  <c r="H357" i="27"/>
  <c r="F356" i="27"/>
  <c r="P177" i="27" l="1"/>
  <c r="N177" i="27"/>
  <c r="H358" i="27"/>
  <c r="F357" i="27"/>
  <c r="I358" i="27"/>
  <c r="O177" i="27" l="1"/>
  <c r="H359" i="27"/>
  <c r="F358" i="27"/>
  <c r="I359" i="27"/>
  <c r="Q177" i="27" l="1"/>
  <c r="M178" i="27" s="1"/>
  <c r="F359" i="27"/>
  <c r="H360" i="27"/>
  <c r="I360" i="27"/>
  <c r="N178" i="27" l="1"/>
  <c r="P178" i="27"/>
  <c r="I361" i="27"/>
  <c r="F360" i="27"/>
  <c r="H361" i="27"/>
  <c r="O178" i="27" l="1"/>
  <c r="Q178" i="27" s="1"/>
  <c r="M179" i="27" s="1"/>
  <c r="H362" i="27"/>
  <c r="F361" i="27"/>
  <c r="I362" i="27"/>
  <c r="P179" i="27" l="1"/>
  <c r="N179" i="27"/>
  <c r="I363" i="27"/>
  <c r="H363" i="27"/>
  <c r="F362" i="27"/>
  <c r="O179" i="27" l="1"/>
  <c r="F363" i="27"/>
  <c r="H364" i="27"/>
  <c r="I364" i="27"/>
  <c r="F364" i="27" s="1"/>
  <c r="Q179" i="27" l="1"/>
  <c r="M180" i="27" s="1"/>
  <c r="P180" i="27" l="1"/>
  <c r="N180" i="27"/>
  <c r="O180" i="27" l="1"/>
  <c r="Q180" i="27" s="1"/>
  <c r="M181" i="27" s="1"/>
  <c r="N181" i="27" l="1"/>
  <c r="P181" i="27"/>
  <c r="O181" i="27" s="1"/>
  <c r="Q181" i="27" l="1"/>
  <c r="M182" i="27" s="1"/>
  <c r="N182" i="27" l="1"/>
  <c r="P182" i="27"/>
  <c r="O182" i="27" l="1"/>
  <c r="Q182" i="27" s="1"/>
  <c r="M183" i="27" s="1"/>
  <c r="P183" i="27" l="1"/>
  <c r="N183" i="27"/>
  <c r="O183" i="27" l="1"/>
  <c r="Q183" i="27" s="1"/>
  <c r="M184" i="27" s="1"/>
  <c r="N184" i="27" l="1"/>
  <c r="P184" i="27"/>
  <c r="O184" i="27" l="1"/>
  <c r="Q184" i="27" s="1"/>
  <c r="M185" i="27" s="1"/>
  <c r="P185" i="27" l="1"/>
  <c r="N185" i="27"/>
  <c r="O185" i="27" l="1"/>
  <c r="Q185" i="27" s="1"/>
  <c r="M186" i="27" s="1"/>
  <c r="P186" i="27" l="1"/>
  <c r="N186" i="27"/>
  <c r="O186" i="27" l="1"/>
  <c r="Q186" i="27" s="1"/>
  <c r="M187" i="27" s="1"/>
  <c r="P187" i="27" l="1"/>
  <c r="N187" i="27"/>
  <c r="O187" i="27" l="1"/>
  <c r="Q187" i="27" s="1"/>
  <c r="M188" i="27" s="1"/>
  <c r="N188" i="27" l="1"/>
  <c r="P188" i="27"/>
  <c r="O188" i="27" l="1"/>
  <c r="Q188" i="27" s="1"/>
  <c r="M189" i="27" s="1"/>
  <c r="N189" i="27" l="1"/>
  <c r="P189" i="27"/>
  <c r="O189" i="27" l="1"/>
  <c r="Q189" i="27" s="1"/>
  <c r="M190" i="27" s="1"/>
  <c r="N190" i="27" l="1"/>
  <c r="P190" i="27"/>
  <c r="O190" i="27" l="1"/>
  <c r="Q190" i="27" s="1"/>
  <c r="M191" i="27" s="1"/>
  <c r="N191" i="27" l="1"/>
  <c r="P191" i="27"/>
  <c r="O191" i="27" l="1"/>
  <c r="Q191" i="27" s="1"/>
  <c r="M192" i="27" s="1"/>
  <c r="P192" i="27" l="1"/>
  <c r="N192" i="27"/>
  <c r="O192" i="27" l="1"/>
  <c r="Q192" i="27" s="1"/>
  <c r="M193" i="27" s="1"/>
  <c r="P193" i="27" l="1"/>
  <c r="N193" i="27"/>
  <c r="O193" i="27" l="1"/>
  <c r="Q193" i="27" s="1"/>
  <c r="M194" i="27" s="1"/>
  <c r="N194" i="27" l="1"/>
  <c r="P194" i="27"/>
  <c r="O194" i="27" l="1"/>
  <c r="Q194" i="27" s="1"/>
  <c r="M195" i="27" s="1"/>
  <c r="P195" i="27" l="1"/>
  <c r="N195" i="27"/>
  <c r="O195" i="27" l="1"/>
  <c r="Q195" i="27" s="1"/>
  <c r="M196" i="27" s="1"/>
  <c r="N196" i="27" l="1"/>
  <c r="P196" i="27"/>
  <c r="O196" i="27" l="1"/>
  <c r="Q196" i="27" s="1"/>
  <c r="M197" i="27" s="1"/>
  <c r="N197" i="27" l="1"/>
  <c r="P197" i="27"/>
  <c r="O197" i="27" l="1"/>
  <c r="Q197" i="27" s="1"/>
  <c r="M198" i="27" s="1"/>
  <c r="N198" i="27" l="1"/>
  <c r="P198" i="27"/>
  <c r="O198" i="27" l="1"/>
  <c r="Q198" i="27" s="1"/>
  <c r="M199" i="27" s="1"/>
  <c r="N199" i="27" l="1"/>
  <c r="P199" i="27"/>
  <c r="O199" i="27" l="1"/>
  <c r="Q199" i="27" s="1"/>
  <c r="M200" i="27" s="1"/>
  <c r="P200" i="27" l="1"/>
  <c r="N200" i="27"/>
  <c r="O200" i="27" l="1"/>
  <c r="Q200" i="27" l="1"/>
  <c r="M201" i="27" s="1"/>
  <c r="P201" i="27" l="1"/>
  <c r="N201" i="27"/>
  <c r="O201" i="27" l="1"/>
  <c r="Q201" i="27" s="1"/>
  <c r="M202" i="27" s="1"/>
  <c r="N202" i="27" l="1"/>
  <c r="P202" i="27"/>
  <c r="O202" i="27" l="1"/>
  <c r="Q202" i="27" s="1"/>
  <c r="M203" i="27" s="1"/>
  <c r="N203" i="27" l="1"/>
  <c r="P203" i="27"/>
  <c r="O203" i="27" l="1"/>
  <c r="Q203" i="27" s="1"/>
  <c r="M204" i="27" s="1"/>
  <c r="N204" i="27" l="1"/>
  <c r="P204" i="27"/>
  <c r="O204" i="27" l="1"/>
  <c r="Q204" i="27" s="1"/>
  <c r="M205" i="27" s="1"/>
  <c r="N205" i="27" l="1"/>
  <c r="P205" i="27"/>
  <c r="O205" i="27" l="1"/>
  <c r="Q205" i="27" s="1"/>
  <c r="M206" i="27" s="1"/>
  <c r="P206" i="27" l="1"/>
  <c r="N206" i="27"/>
  <c r="O206" i="27" l="1"/>
  <c r="Q206" i="27" l="1"/>
  <c r="M207" i="27" s="1"/>
  <c r="P207" i="27" l="1"/>
  <c r="N207" i="27"/>
  <c r="O207" i="27" l="1"/>
  <c r="Q207" i="27" s="1"/>
  <c r="M208" i="27" s="1"/>
  <c r="P208" i="27" l="1"/>
  <c r="N208" i="27"/>
  <c r="O208" i="27" l="1"/>
  <c r="Q208" i="27" s="1"/>
  <c r="M209" i="27" s="1"/>
  <c r="P209" i="27" l="1"/>
  <c r="N209" i="27"/>
  <c r="O209" i="27" l="1"/>
  <c r="Q209" i="27" s="1"/>
  <c r="M210" i="27" s="1"/>
  <c r="P210" i="27" l="1"/>
  <c r="N210" i="27"/>
  <c r="O210" i="27" l="1"/>
  <c r="Q210" i="27" s="1"/>
  <c r="M211" i="27" s="1"/>
  <c r="N211" i="27" l="1"/>
  <c r="P211" i="27"/>
  <c r="O211" i="27" l="1"/>
  <c r="Q211" i="27" s="1"/>
  <c r="M212" i="27" s="1"/>
  <c r="P212" i="27" l="1"/>
  <c r="N212" i="27"/>
  <c r="O212" i="27" l="1"/>
  <c r="Q212" i="27" s="1"/>
  <c r="M213" i="27" s="1"/>
  <c r="N213" i="27" l="1"/>
  <c r="P213" i="27"/>
  <c r="O213" i="27" l="1"/>
  <c r="Q213" i="27" s="1"/>
  <c r="M214" i="27" s="1"/>
  <c r="P214" i="27" l="1"/>
  <c r="N214" i="27"/>
  <c r="O214" i="27" l="1"/>
  <c r="Q214" i="27" s="1"/>
  <c r="M215" i="27" s="1"/>
  <c r="N215" i="27" l="1"/>
  <c r="P215" i="27"/>
  <c r="O215" i="27" l="1"/>
  <c r="Q215" i="27" s="1"/>
  <c r="M216" i="27" s="1"/>
  <c r="P216" i="27" l="1"/>
  <c r="N216" i="27"/>
  <c r="O216" i="27" l="1"/>
  <c r="Q216" i="27" s="1"/>
  <c r="M217" i="27" s="1"/>
  <c r="P217" i="27" l="1"/>
  <c r="N217" i="27"/>
  <c r="O217" i="27" l="1"/>
  <c r="Q217" i="27" s="1"/>
  <c r="M218" i="27" s="1"/>
  <c r="N218" i="27" l="1"/>
  <c r="P218" i="27"/>
  <c r="O218" i="27" l="1"/>
  <c r="Q218" i="27" s="1"/>
  <c r="M219" i="27" s="1"/>
  <c r="P219" i="27" l="1"/>
  <c r="N219" i="27"/>
  <c r="O219" i="27" l="1"/>
  <c r="Q219" i="27" s="1"/>
  <c r="M220" i="27" s="1"/>
  <c r="N220" i="27" l="1"/>
  <c r="P220" i="27"/>
  <c r="O220" i="27" l="1"/>
  <c r="Q220" i="27" s="1"/>
  <c r="M221" i="27" s="1"/>
  <c r="N221" i="27" l="1"/>
  <c r="P221" i="27"/>
  <c r="O221" i="27" l="1"/>
  <c r="Q221" i="27"/>
  <c r="M222" i="27" s="1"/>
  <c r="P222" i="27" l="1"/>
  <c r="N222" i="27"/>
  <c r="O222" i="27" l="1"/>
  <c r="Q222" i="27" s="1"/>
  <c r="M223" i="27" s="1"/>
  <c r="P223" i="27" l="1"/>
  <c r="N223" i="27"/>
  <c r="O223" i="27" l="1"/>
  <c r="Q223" i="27" s="1"/>
  <c r="M224" i="27" s="1"/>
  <c r="N224" i="27" l="1"/>
  <c r="P224" i="27"/>
  <c r="O224" i="27" l="1"/>
  <c r="Q224" i="27"/>
  <c r="M225" i="27" s="1"/>
  <c r="P225" i="27" l="1"/>
  <c r="N225" i="27"/>
  <c r="O225" i="27" l="1"/>
  <c r="Q225" i="27" s="1"/>
  <c r="M226" i="27" s="1"/>
  <c r="N226" i="27" l="1"/>
  <c r="P226" i="27"/>
  <c r="O226" i="27" l="1"/>
  <c r="Q226" i="27" s="1"/>
  <c r="M227" i="27" s="1"/>
  <c r="N227" i="27" l="1"/>
  <c r="P227" i="27"/>
  <c r="O227" i="27" l="1"/>
  <c r="Q227" i="27"/>
  <c r="M228" i="27" s="1"/>
  <c r="N228" i="27" l="1"/>
  <c r="P228" i="27"/>
  <c r="O228" i="27" l="1"/>
  <c r="Q228" i="27" s="1"/>
  <c r="M229" i="27" s="1"/>
  <c r="N229" i="27" l="1"/>
  <c r="P229" i="27"/>
  <c r="O229" i="27" l="1"/>
  <c r="Q229" i="27" s="1"/>
  <c r="M230" i="27" s="1"/>
  <c r="P230" i="27" l="1"/>
  <c r="N230" i="27"/>
  <c r="O230" i="27" l="1"/>
  <c r="Q230" i="27" s="1"/>
  <c r="M231" i="27" s="1"/>
  <c r="P231" i="27" l="1"/>
  <c r="N231" i="27"/>
  <c r="O231" i="27" l="1"/>
  <c r="Q231" i="27" s="1"/>
  <c r="M232" i="27" s="1"/>
  <c r="N232" i="27" l="1"/>
  <c r="P232" i="27"/>
  <c r="O232" i="27" l="1"/>
  <c r="Q232" i="27" s="1"/>
  <c r="M233" i="27" s="1"/>
  <c r="N233" i="27" l="1"/>
  <c r="P233" i="27"/>
  <c r="O233" i="27" l="1"/>
  <c r="Q233" i="27" s="1"/>
  <c r="M234" i="27" s="1"/>
  <c r="P234" i="27" l="1"/>
  <c r="N234" i="27"/>
  <c r="O234" i="27" l="1"/>
  <c r="Q234" i="27" s="1"/>
  <c r="M235" i="27" s="1"/>
  <c r="P235" i="27" l="1"/>
  <c r="N235" i="27"/>
  <c r="O235" i="27" l="1"/>
  <c r="Q235" i="27" s="1"/>
  <c r="M236" i="27" s="1"/>
  <c r="N236" i="27" l="1"/>
  <c r="P236" i="27"/>
  <c r="O236" i="27" l="1"/>
  <c r="Q236" i="27" s="1"/>
  <c r="M237" i="27" s="1"/>
  <c r="N237" i="27" l="1"/>
  <c r="P237" i="27"/>
  <c r="O237" i="27" l="1"/>
  <c r="Q237" i="27" s="1"/>
  <c r="M238" i="27" s="1"/>
  <c r="N238" i="27" l="1"/>
  <c r="P238" i="27"/>
  <c r="O238" i="27" l="1"/>
  <c r="Q238" i="27" s="1"/>
  <c r="M239" i="27" s="1"/>
  <c r="P239" i="27" l="1"/>
  <c r="N239" i="27"/>
  <c r="O239" i="27" l="1"/>
  <c r="Q239" i="27" s="1"/>
  <c r="M240" i="27" s="1"/>
  <c r="P240" i="27" l="1"/>
  <c r="N240" i="27"/>
  <c r="O240" i="27" l="1"/>
  <c r="Q240" i="27" s="1"/>
  <c r="M241" i="27" s="1"/>
  <c r="N241" i="27" l="1"/>
  <c r="P241" i="27"/>
  <c r="O241" i="27" l="1"/>
  <c r="Q241" i="27" s="1"/>
  <c r="M242" i="27" s="1"/>
  <c r="N242" i="27" l="1"/>
  <c r="P242" i="27"/>
  <c r="O242" i="27" l="1"/>
  <c r="Q242" i="27" s="1"/>
  <c r="M243" i="27" s="1"/>
  <c r="N243" i="27" l="1"/>
  <c r="P243" i="27"/>
  <c r="O243" i="27" l="1"/>
  <c r="Q243" i="27" s="1"/>
  <c r="M244" i="27" s="1"/>
  <c r="N244" i="27" l="1"/>
  <c r="P244" i="27"/>
  <c r="O244" i="27" l="1"/>
  <c r="Q244" i="27" s="1"/>
  <c r="M245" i="27" s="1"/>
  <c r="P245" i="27" s="1"/>
  <c r="N245" i="27" l="1"/>
  <c r="O245" i="27" s="1"/>
  <c r="Q245" i="27" s="1"/>
  <c r="M246" i="27" l="1"/>
  <c r="P246" i="27" s="1"/>
  <c r="N246" i="27" l="1"/>
  <c r="O246" i="27" s="1"/>
  <c r="Q246" i="27" s="1"/>
  <c r="M247" i="27" l="1"/>
  <c r="P247" i="27" s="1"/>
  <c r="N247" i="27" l="1"/>
  <c r="O247" i="27" s="1"/>
  <c r="Q247" i="27" s="1"/>
  <c r="M248" i="27" l="1"/>
  <c r="P248" i="27" s="1"/>
  <c r="N248" i="27" l="1"/>
  <c r="O248" i="27" s="1"/>
  <c r="Q248" i="27" s="1"/>
  <c r="M249" i="27" l="1"/>
  <c r="P249" i="27" s="1"/>
  <c r="N249" i="27" l="1"/>
  <c r="O249" i="27" s="1"/>
  <c r="Q249" i="27" s="1"/>
  <c r="M250" i="27" l="1"/>
  <c r="P250" i="27" s="1"/>
  <c r="N250" i="27" l="1"/>
  <c r="O250" i="27" s="1"/>
  <c r="Q250" i="27" s="1"/>
  <c r="M251" i="27" l="1"/>
  <c r="P251" i="27" s="1"/>
  <c r="N251" i="27" l="1"/>
  <c r="O251" i="27" s="1"/>
  <c r="Q251" i="27" s="1"/>
  <c r="M252" i="27" l="1"/>
  <c r="P252" i="27" s="1"/>
  <c r="N252" i="27" l="1"/>
  <c r="O252" i="27" s="1"/>
  <c r="Q252" i="27" s="1"/>
  <c r="M253" i="27" l="1"/>
  <c r="P253" i="27" s="1"/>
  <c r="N253" i="27" l="1"/>
  <c r="O253" i="27" s="1"/>
  <c r="Q253" i="27" s="1"/>
  <c r="M254" i="27" l="1"/>
  <c r="P254" i="27" s="1"/>
  <c r="N254" i="27" l="1"/>
  <c r="O254" i="27" s="1"/>
  <c r="Q254" i="27" s="1"/>
  <c r="M255" i="27" l="1"/>
  <c r="P255" i="27" s="1"/>
  <c r="N255" i="27" l="1"/>
  <c r="O255" i="27" s="1"/>
  <c r="Q255" i="27" s="1"/>
  <c r="M256" i="27" l="1"/>
  <c r="P256" i="27" s="1"/>
  <c r="N256" i="27" l="1"/>
  <c r="O256" i="27" s="1"/>
  <c r="Q256" i="27" s="1"/>
  <c r="M257" i="27" l="1"/>
  <c r="P257" i="27" s="1"/>
  <c r="N257" i="27" l="1"/>
  <c r="O257" i="27" s="1"/>
  <c r="Q257" i="27" s="1"/>
  <c r="M258" i="27" l="1"/>
  <c r="P258" i="27" s="1"/>
  <c r="N258" i="27" l="1"/>
  <c r="O258" i="27" s="1"/>
  <c r="Q258" i="27" s="1"/>
  <c r="M259" i="27" l="1"/>
  <c r="P259" i="27" s="1"/>
  <c r="N259" i="27" l="1"/>
  <c r="O259" i="27" s="1"/>
  <c r="Q259" i="27" s="1"/>
  <c r="M260" i="27" l="1"/>
  <c r="P260" i="27" s="1"/>
  <c r="N260" i="27" l="1"/>
  <c r="O260" i="27" s="1"/>
  <c r="Q260" i="27" s="1"/>
  <c r="M261" i="27" l="1"/>
  <c r="P261" i="27" s="1"/>
  <c r="N261" i="27" l="1"/>
  <c r="O261" i="27" s="1"/>
  <c r="Q261" i="27" s="1"/>
  <c r="M262" i="27" l="1"/>
  <c r="P262" i="27" s="1"/>
  <c r="N262" i="27" l="1"/>
  <c r="O262" i="27" s="1"/>
  <c r="Q262" i="27" s="1"/>
  <c r="M263" i="27" l="1"/>
  <c r="P263" i="27" s="1"/>
  <c r="N263" i="27" l="1"/>
  <c r="O263" i="27" s="1"/>
  <c r="Q263" i="27" s="1"/>
  <c r="M264" i="27" l="1"/>
  <c r="P264" i="27" s="1"/>
  <c r="N264" i="27" l="1"/>
  <c r="O264" i="27" s="1"/>
  <c r="Q264" i="27" s="1"/>
  <c r="M265" i="27" l="1"/>
  <c r="P265" i="27" s="1"/>
  <c r="N265" i="27" l="1"/>
  <c r="O265" i="27" s="1"/>
  <c r="Q265" i="27" s="1"/>
  <c r="M266" i="27" l="1"/>
  <c r="P266" i="27" s="1"/>
  <c r="N266" i="27" l="1"/>
  <c r="O266" i="27" s="1"/>
  <c r="Q266" i="27" s="1"/>
  <c r="M267" i="27" l="1"/>
  <c r="P267" i="27" s="1"/>
  <c r="N267" i="27" l="1"/>
  <c r="O267" i="27" s="1"/>
  <c r="Q267" i="27" s="1"/>
  <c r="M268" i="27" l="1"/>
  <c r="P268" i="27" s="1"/>
  <c r="N268" i="27" l="1"/>
  <c r="O268" i="27" s="1"/>
  <c r="Q268" i="27" s="1"/>
  <c r="M269" i="27" l="1"/>
  <c r="P269" i="27" s="1"/>
  <c r="N269" i="27" l="1"/>
  <c r="O269" i="27" s="1"/>
  <c r="Q269" i="27" s="1"/>
  <c r="M270" i="27" l="1"/>
  <c r="P270" i="27" s="1"/>
  <c r="N270" i="27" l="1"/>
  <c r="O270" i="27" s="1"/>
  <c r="Q270" i="27" s="1"/>
  <c r="M271" i="27" l="1"/>
  <c r="P271" i="27" s="1"/>
  <c r="N271" i="27" l="1"/>
  <c r="O271" i="27" s="1"/>
  <c r="Q271" i="27" s="1"/>
  <c r="M272" i="27" l="1"/>
  <c r="P272" i="27" s="1"/>
  <c r="N272" i="27" l="1"/>
  <c r="O272" i="27" s="1"/>
  <c r="Q272" i="27" s="1"/>
  <c r="M273" i="27" l="1"/>
  <c r="P273" i="27" s="1"/>
  <c r="N273" i="27" l="1"/>
  <c r="O273" i="27" s="1"/>
  <c r="Q273" i="27" s="1"/>
  <c r="M274" i="27" l="1"/>
  <c r="P274" i="27" s="1"/>
  <c r="N274" i="27" l="1"/>
  <c r="O274" i="27" s="1"/>
  <c r="Q274" i="27" s="1"/>
  <c r="M275" i="27" l="1"/>
  <c r="P275" i="27" s="1"/>
  <c r="N275" i="27" l="1"/>
  <c r="O275" i="27" s="1"/>
  <c r="Q275" i="27" s="1"/>
  <c r="M276" i="27" l="1"/>
  <c r="P276" i="27" s="1"/>
  <c r="N276" i="27" l="1"/>
  <c r="O276" i="27" s="1"/>
  <c r="Q276" i="27" s="1"/>
  <c r="M277" i="27" l="1"/>
  <c r="P277" i="27" s="1"/>
  <c r="N277" i="27" l="1"/>
  <c r="O277" i="27" s="1"/>
  <c r="Q277" i="27" s="1"/>
  <c r="M278" i="27" l="1"/>
  <c r="P278" i="27" s="1"/>
  <c r="N278" i="27" l="1"/>
  <c r="O278" i="27" s="1"/>
  <c r="Q278" i="27" s="1"/>
  <c r="M279" i="27" l="1"/>
  <c r="P279" i="27" s="1"/>
  <c r="N279" i="27" l="1"/>
  <c r="O279" i="27" s="1"/>
  <c r="Q279" i="27" s="1"/>
  <c r="M280" i="27" l="1"/>
  <c r="P280" i="27" s="1"/>
  <c r="N280" i="27" l="1"/>
  <c r="O280" i="27" s="1"/>
  <c r="Q280" i="27" s="1"/>
  <c r="M281" i="27" l="1"/>
  <c r="P281" i="27" s="1"/>
  <c r="N281" i="27" l="1"/>
  <c r="O281" i="27" s="1"/>
  <c r="Q281" i="27" s="1"/>
  <c r="M282" i="27" l="1"/>
  <c r="P282" i="27" s="1"/>
  <c r="N282" i="27" l="1"/>
  <c r="O282" i="27" s="1"/>
  <c r="Q282" i="27" s="1"/>
  <c r="M283" i="27" l="1"/>
  <c r="P283" i="27" s="1"/>
  <c r="N283" i="27" l="1"/>
  <c r="O283" i="27" s="1"/>
  <c r="Q283" i="27" s="1"/>
  <c r="M284" i="27" l="1"/>
  <c r="P284" i="27" s="1"/>
  <c r="N284" i="27" l="1"/>
  <c r="O284" i="27" s="1"/>
  <c r="Q284" i="27" s="1"/>
  <c r="M285" i="27" l="1"/>
  <c r="P285" i="27" s="1"/>
  <c r="N285" i="27" l="1"/>
  <c r="O285" i="27" s="1"/>
  <c r="Q285" i="27" s="1"/>
  <c r="M286" i="27" l="1"/>
  <c r="P286" i="27" s="1"/>
  <c r="N286" i="27" l="1"/>
  <c r="O286" i="27" s="1"/>
  <c r="Q286" i="27" s="1"/>
  <c r="M287" i="27" l="1"/>
  <c r="P287" i="27" s="1"/>
  <c r="N287" i="27" l="1"/>
  <c r="O287" i="27" s="1"/>
  <c r="Q287" i="27" s="1"/>
  <c r="M288" i="27" l="1"/>
  <c r="P288" i="27" s="1"/>
  <c r="N288" i="27" l="1"/>
  <c r="O288" i="27" s="1"/>
  <c r="Q288" i="27" s="1"/>
  <c r="M289" i="27" l="1"/>
  <c r="P289" i="27" s="1"/>
  <c r="N289" i="27" l="1"/>
  <c r="O289" i="27" s="1"/>
  <c r="Q289" i="27" s="1"/>
  <c r="M290" i="27" l="1"/>
  <c r="P290" i="27" s="1"/>
  <c r="N290" i="27" l="1"/>
  <c r="O290" i="27" s="1"/>
  <c r="Q290" i="27" s="1"/>
  <c r="M291" i="27" l="1"/>
  <c r="P291" i="27" s="1"/>
  <c r="N291" i="27" l="1"/>
  <c r="O291" i="27" s="1"/>
  <c r="Q291" i="27" s="1"/>
  <c r="M292" i="27" l="1"/>
  <c r="P292" i="27" s="1"/>
  <c r="N292" i="27" l="1"/>
  <c r="O292" i="27" s="1"/>
  <c r="Q292" i="27" s="1"/>
  <c r="M293" i="27" l="1"/>
  <c r="P293" i="27" s="1"/>
  <c r="N293" i="27" l="1"/>
  <c r="O293" i="27" s="1"/>
  <c r="Q293" i="27" s="1"/>
  <c r="M294" i="27" l="1"/>
  <c r="P294" i="27" s="1"/>
  <c r="N294" i="27" l="1"/>
  <c r="O294" i="27" s="1"/>
  <c r="Q294" i="27" s="1"/>
  <c r="M295" i="27" l="1"/>
  <c r="P295" i="27" s="1"/>
  <c r="N295" i="27" l="1"/>
  <c r="O295" i="27" s="1"/>
  <c r="Q295" i="27" s="1"/>
  <c r="M296" i="27" l="1"/>
  <c r="P296" i="27" s="1"/>
  <c r="N296" i="27" l="1"/>
  <c r="O296" i="27" s="1"/>
  <c r="Q296" i="27" s="1"/>
  <c r="M297" i="27" l="1"/>
  <c r="P297" i="27" s="1"/>
  <c r="N297" i="27" l="1"/>
  <c r="O297" i="27" s="1"/>
  <c r="Q297" i="27" s="1"/>
  <c r="M298" i="27" l="1"/>
  <c r="P298" i="27" s="1"/>
  <c r="N298" i="27" l="1"/>
  <c r="O298" i="27" s="1"/>
  <c r="Q298" i="27" l="1"/>
  <c r="M299" i="27" s="1"/>
  <c r="P299" i="27" s="1"/>
  <c r="N299" i="27" l="1"/>
  <c r="O299" i="27" s="1"/>
  <c r="Q299" i="27" l="1"/>
  <c r="M300" i="27" s="1"/>
  <c r="P300" i="27" s="1"/>
  <c r="N300" i="27" l="1"/>
  <c r="O300" i="27" s="1"/>
  <c r="Q300" i="27" l="1"/>
  <c r="M301" i="27" s="1"/>
  <c r="P301" i="27" s="1"/>
  <c r="N301" i="27" l="1"/>
  <c r="O301" i="27" s="1"/>
  <c r="Q301" i="27" l="1"/>
  <c r="M302" i="27" s="1"/>
  <c r="P302" i="27" s="1"/>
  <c r="N302" i="27" l="1"/>
  <c r="O302" i="27" s="1"/>
  <c r="Q302" i="27" l="1"/>
  <c r="M303" i="27" s="1"/>
  <c r="P303" i="27" s="1"/>
  <c r="N303" i="27" l="1"/>
  <c r="O303" i="27" s="1"/>
  <c r="Q303" i="27" l="1"/>
  <c r="M304" i="27" s="1"/>
  <c r="P304" i="27" s="1"/>
  <c r="N304" i="27" l="1"/>
  <c r="O304" i="27" s="1"/>
  <c r="Q304" i="27" l="1"/>
  <c r="M305" i="27" s="1"/>
  <c r="P305" i="27" s="1"/>
  <c r="N305" i="27" l="1"/>
  <c r="O305" i="27" s="1"/>
  <c r="Q305" i="27" l="1"/>
  <c r="M306" i="27" s="1"/>
  <c r="P306" i="27" s="1"/>
  <c r="N306" i="27" l="1"/>
  <c r="O306" i="27" s="1"/>
  <c r="Q306" i="27" l="1"/>
  <c r="M307" i="27" s="1"/>
  <c r="P307" i="27" s="1"/>
  <c r="N307" i="27" l="1"/>
  <c r="O307" i="27" s="1"/>
  <c r="Q307" i="27" l="1"/>
  <c r="M308" i="27" s="1"/>
  <c r="P308" i="27" s="1"/>
  <c r="N308" i="27" l="1"/>
  <c r="O308" i="27" s="1"/>
  <c r="Q308" i="27" l="1"/>
  <c r="M309" i="27" s="1"/>
  <c r="P309" i="27" s="1"/>
  <c r="N309" i="27" l="1"/>
  <c r="O309" i="27" s="1"/>
  <c r="Q309" i="27" l="1"/>
  <c r="M310" i="27" s="1"/>
  <c r="P310" i="27" s="1"/>
  <c r="N310" i="27" l="1"/>
  <c r="O310" i="27" s="1"/>
  <c r="Q310" i="27" l="1"/>
  <c r="M311" i="27" s="1"/>
  <c r="P311" i="27" s="1"/>
  <c r="N311" i="27" l="1"/>
  <c r="O311" i="27" s="1"/>
  <c r="Q311" i="27" l="1"/>
  <c r="M312" i="27" s="1"/>
  <c r="P312" i="27" s="1"/>
  <c r="N312" i="27" l="1"/>
  <c r="O312" i="27" s="1"/>
  <c r="Q312" i="27" l="1"/>
  <c r="M313" i="27" s="1"/>
  <c r="P313" i="27" s="1"/>
  <c r="N313" i="27" l="1"/>
  <c r="O313" i="27" s="1"/>
  <c r="Q313" i="27" l="1"/>
  <c r="M314" i="27" s="1"/>
  <c r="P314" i="27" s="1"/>
  <c r="N314" i="27" l="1"/>
  <c r="O314" i="27" s="1"/>
  <c r="Q314" i="27" l="1"/>
  <c r="M315" i="27" s="1"/>
  <c r="P315" i="27" s="1"/>
  <c r="N315" i="27" l="1"/>
  <c r="O315" i="27" s="1"/>
  <c r="Q315" i="27" l="1"/>
  <c r="M316" i="27" s="1"/>
  <c r="P316" i="27" s="1"/>
  <c r="N316" i="27" l="1"/>
  <c r="O316" i="27" s="1"/>
  <c r="Q316" i="27" l="1"/>
  <c r="M317" i="27" s="1"/>
  <c r="P317" i="27" s="1"/>
  <c r="N317" i="27" l="1"/>
  <c r="O317" i="27" s="1"/>
  <c r="Q317" i="27" l="1"/>
  <c r="M318" i="27" s="1"/>
  <c r="P318" i="27" s="1"/>
  <c r="N318" i="27" l="1"/>
  <c r="O318" i="27" s="1"/>
  <c r="Q318" i="27" l="1"/>
  <c r="M319" i="27" s="1"/>
  <c r="P319" i="27" s="1"/>
  <c r="N319" i="27" l="1"/>
  <c r="O319" i="27" s="1"/>
  <c r="Q319" i="27" l="1"/>
  <c r="M320" i="27" s="1"/>
  <c r="P320" i="27" s="1"/>
  <c r="N320" i="27" l="1"/>
  <c r="O320" i="27" s="1"/>
  <c r="Q320" i="27" l="1"/>
  <c r="M321" i="27" s="1"/>
  <c r="P321" i="27" s="1"/>
  <c r="N321" i="27" l="1"/>
  <c r="O321" i="27" s="1"/>
  <c r="Q321" i="27" l="1"/>
  <c r="M322" i="27" s="1"/>
  <c r="P322" i="27" s="1"/>
  <c r="N322" i="27" l="1"/>
  <c r="O322" i="27" s="1"/>
  <c r="Q322" i="27" l="1"/>
  <c r="M323" i="27" s="1"/>
  <c r="P323" i="27" s="1"/>
  <c r="N323" i="27" l="1"/>
  <c r="O323" i="27" s="1"/>
  <c r="Q323" i="27" l="1"/>
  <c r="M324" i="27" s="1"/>
  <c r="P324" i="27" s="1"/>
  <c r="N324" i="27" l="1"/>
  <c r="O324" i="27" s="1"/>
  <c r="Q324" i="27" l="1"/>
  <c r="M325" i="27" s="1"/>
  <c r="P325" i="27" s="1"/>
  <c r="N325" i="27" l="1"/>
  <c r="O325" i="27" s="1"/>
  <c r="Q325" i="27" l="1"/>
  <c r="M326" i="27" s="1"/>
  <c r="P326" i="27" s="1"/>
  <c r="N326" i="27" l="1"/>
  <c r="O326" i="27" s="1"/>
  <c r="Q326" i="27" l="1"/>
  <c r="M327" i="27" s="1"/>
  <c r="P327" i="27" s="1"/>
  <c r="N327" i="27" l="1"/>
  <c r="O327" i="27" s="1"/>
  <c r="Q327" i="27" l="1"/>
  <c r="M328" i="27" s="1"/>
  <c r="P328" i="27" s="1"/>
  <c r="N328" i="27" l="1"/>
  <c r="O328" i="27" s="1"/>
  <c r="Q328" i="27" l="1"/>
  <c r="M329" i="27" s="1"/>
  <c r="P329" i="27" s="1"/>
  <c r="N329" i="27" l="1"/>
  <c r="O329" i="27" s="1"/>
  <c r="Q329" i="27" l="1"/>
  <c r="M330" i="27" s="1"/>
  <c r="P330" i="27" s="1"/>
  <c r="N330" i="27" l="1"/>
  <c r="O330" i="27" s="1"/>
  <c r="Q330" i="27" l="1"/>
  <c r="M331" i="27" s="1"/>
  <c r="P331" i="27" s="1"/>
  <c r="N331" i="27" l="1"/>
  <c r="O331" i="27" s="1"/>
  <c r="Q331" i="27" l="1"/>
  <c r="M332" i="27" s="1"/>
  <c r="P332" i="27" s="1"/>
  <c r="N332" i="27" l="1"/>
  <c r="O332" i="27" s="1"/>
  <c r="Q332" i="27" l="1"/>
  <c r="M333" i="27" s="1"/>
  <c r="P333" i="27" s="1"/>
  <c r="N333" i="27" l="1"/>
  <c r="O333" i="27" s="1"/>
  <c r="Q333" i="27" l="1"/>
  <c r="M334" i="27" s="1"/>
  <c r="P334" i="27" s="1"/>
  <c r="N334" i="27" l="1"/>
  <c r="O334" i="27" s="1"/>
  <c r="Q334" i="27" l="1"/>
  <c r="M335" i="27" s="1"/>
  <c r="P335" i="27" s="1"/>
  <c r="N335" i="27" l="1"/>
  <c r="O335" i="27" s="1"/>
  <c r="Q335" i="27" l="1"/>
  <c r="M336" i="27" s="1"/>
  <c r="P336" i="27" s="1"/>
  <c r="N336" i="27" l="1"/>
  <c r="O336" i="27" s="1"/>
  <c r="Q336" i="27" l="1"/>
  <c r="M337" i="27" s="1"/>
  <c r="P337" i="27" s="1"/>
  <c r="N337" i="27" l="1"/>
  <c r="O337" i="27" s="1"/>
  <c r="Q337" i="27" l="1"/>
  <c r="M338" i="27" s="1"/>
  <c r="P338" i="27" s="1"/>
  <c r="N338" i="27" l="1"/>
  <c r="O338" i="27" s="1"/>
  <c r="Q338" i="27" l="1"/>
  <c r="M339" i="27" s="1"/>
  <c r="P339" i="27" s="1"/>
  <c r="N339" i="27" l="1"/>
  <c r="O339" i="27" s="1"/>
  <c r="Q339" i="27" l="1"/>
  <c r="M340" i="27" s="1"/>
  <c r="P340" i="27" s="1"/>
  <c r="N340" i="27" l="1"/>
  <c r="O340" i="27" s="1"/>
  <c r="Q340" i="27" l="1"/>
  <c r="M341" i="27" s="1"/>
  <c r="P341" i="27" s="1"/>
  <c r="N341" i="27" l="1"/>
  <c r="O341" i="27" s="1"/>
  <c r="Q341" i="27" l="1"/>
  <c r="M342" i="27" s="1"/>
  <c r="P342" i="27" s="1"/>
  <c r="N342" i="27" l="1"/>
  <c r="O342" i="27" s="1"/>
  <c r="Q342" i="27" l="1"/>
  <c r="M343" i="27" s="1"/>
  <c r="P343" i="27" s="1"/>
  <c r="N343" i="27" l="1"/>
  <c r="O343" i="27" l="1"/>
  <c r="Q343" i="27" l="1"/>
  <c r="M344" i="27" s="1"/>
  <c r="P344" i="27" s="1"/>
  <c r="N344" i="27" l="1"/>
  <c r="O344" i="27" l="1"/>
  <c r="Q344" i="27" l="1"/>
  <c r="M345" i="27" s="1"/>
  <c r="P345" i="27" s="1"/>
  <c r="N345" i="27" l="1"/>
  <c r="O345" i="27" l="1"/>
  <c r="Q345" i="27" l="1"/>
  <c r="M346" i="27" s="1"/>
  <c r="P346" i="27" s="1"/>
  <c r="N346" i="27" l="1"/>
  <c r="O346" i="27" l="1"/>
  <c r="Q346" i="27" l="1"/>
  <c r="M347" i="27" s="1"/>
  <c r="P347" i="27" s="1"/>
  <c r="N347" i="27" l="1"/>
  <c r="O347" i="27" l="1"/>
  <c r="Q347" i="27" l="1"/>
  <c r="M348" i="27" s="1"/>
  <c r="P348" i="27" s="1"/>
  <c r="N348" i="27" l="1"/>
  <c r="O348" i="27" l="1"/>
  <c r="Q348" i="27" l="1"/>
  <c r="M349" i="27" s="1"/>
  <c r="P349" i="27" s="1"/>
  <c r="N349" i="27" l="1"/>
  <c r="O349" i="27" s="1"/>
  <c r="Q349" i="27" l="1"/>
  <c r="M350" i="27" s="1"/>
  <c r="P350" i="27" s="1"/>
  <c r="N350" i="27" l="1"/>
  <c r="O350" i="27" s="1"/>
  <c r="Q350" i="27" l="1"/>
  <c r="M351" i="27" s="1"/>
  <c r="P351" i="27" s="1"/>
  <c r="N351" i="27" l="1"/>
  <c r="O351" i="27" s="1"/>
  <c r="Q351" i="27" l="1"/>
  <c r="M352" i="27" s="1"/>
  <c r="P352" i="27" s="1"/>
  <c r="N352" i="27" l="1"/>
  <c r="O352" i="27" s="1"/>
  <c r="Q352" i="27" l="1"/>
  <c r="M353" i="27" s="1"/>
  <c r="P353" i="27" s="1"/>
  <c r="N353" i="27" l="1"/>
  <c r="O353" i="27" s="1"/>
  <c r="Q353" i="27" l="1"/>
  <c r="M354" i="27" s="1"/>
  <c r="P354" i="27" s="1"/>
  <c r="N354" i="27" l="1"/>
  <c r="O354" i="27" s="1"/>
  <c r="Q354" i="27" l="1"/>
  <c r="M355" i="27" s="1"/>
  <c r="P355" i="27" s="1"/>
  <c r="N355" i="27" l="1"/>
  <c r="O355" i="27" s="1"/>
  <c r="Q355" i="27" l="1"/>
  <c r="M356" i="27" s="1"/>
  <c r="P356" i="27" s="1"/>
  <c r="N356" i="27" l="1"/>
  <c r="O356" i="27" s="1"/>
  <c r="Q356" i="27" l="1"/>
  <c r="M357" i="27" s="1"/>
  <c r="P357" i="27" s="1"/>
  <c r="N357" i="27" l="1"/>
  <c r="O357" i="27" s="1"/>
  <c r="Q357" i="27" l="1"/>
  <c r="M358" i="27" s="1"/>
  <c r="P358" i="27" s="1"/>
  <c r="N358" i="27" l="1"/>
  <c r="O358" i="27" s="1"/>
  <c r="Q358" i="27" l="1"/>
  <c r="M359" i="27" s="1"/>
  <c r="P359" i="27" s="1"/>
  <c r="N359" i="27" l="1"/>
  <c r="O359" i="27" s="1"/>
  <c r="Q359" i="27" l="1"/>
  <c r="M360" i="27" s="1"/>
  <c r="P360" i="27" s="1"/>
  <c r="N360" i="27" l="1"/>
  <c r="O360" i="27" s="1"/>
  <c r="Q360" i="27" l="1"/>
  <c r="M361" i="27" s="1"/>
  <c r="P361" i="27" s="1"/>
  <c r="N361" i="27" l="1"/>
  <c r="O361" i="27" s="1"/>
  <c r="Q361" i="27" l="1"/>
  <c r="M362" i="27" s="1"/>
  <c r="P362" i="27" s="1"/>
  <c r="N362" i="27" l="1"/>
  <c r="O362" i="27" s="1"/>
  <c r="Q362" i="27" l="1"/>
  <c r="M363" i="27" s="1"/>
  <c r="P363" i="27" s="1"/>
  <c r="N363" i="27" l="1"/>
  <c r="O363" i="27" s="1"/>
  <c r="Q363" i="27" l="1"/>
  <c r="M364" i="27" s="1"/>
  <c r="P364" i="27" s="1"/>
  <c r="C19" i="27" s="1"/>
  <c r="N364" i="27" l="1"/>
  <c r="C18" i="27" s="1"/>
  <c r="O364" i="27" l="1"/>
  <c r="Q364" i="27" s="1"/>
  <c r="C17" i="27"/>
  <c r="C20" i="27" l="1"/>
  <c r="C21" i="27"/>
</calcChain>
</file>

<file path=xl/sharedStrings.xml><?xml version="1.0" encoding="utf-8"?>
<sst xmlns="http://schemas.openxmlformats.org/spreadsheetml/2006/main" count="31" uniqueCount="31">
  <si>
    <t>Погашение ОД</t>
  </si>
  <si>
    <t>%</t>
  </si>
  <si>
    <t>Кол-во дней в году</t>
  </si>
  <si>
    <t>График платежей</t>
  </si>
  <si>
    <t>Дата выдачи кредита</t>
  </si>
  <si>
    <t>Год жизни кредита</t>
  </si>
  <si>
    <t>Сумма кредита, руб.</t>
  </si>
  <si>
    <t>Остаток основного долга на конец периода</t>
  </si>
  <si>
    <t>Остаток основного долга на начало периода</t>
  </si>
  <si>
    <t>Первоначальный срок кредита, лет</t>
  </si>
  <si>
    <t>Процентная ставка</t>
  </si>
  <si>
    <t>Первоначальные параметры кредита</t>
  </si>
  <si>
    <t>Ежемесячный платеж, руб.</t>
  </si>
  <si>
    <t>Тип досрочного погашения (Сокращение платежа / сокращения срока кредитования)</t>
  </si>
  <si>
    <t>Сокращения платежа</t>
  </si>
  <si>
    <t>Сокращение срока кредитования</t>
  </si>
  <si>
    <t>Сумма досрочного платежа, руб.</t>
  </si>
  <si>
    <t>№ платежа</t>
  </si>
  <si>
    <t>Начало процентного периода</t>
  </si>
  <si>
    <t>Окончание процентного периода</t>
  </si>
  <si>
    <t>Фактический срок кредитования:</t>
  </si>
  <si>
    <t>Дата первого платежа</t>
  </si>
  <si>
    <t>Дата последнего платежа</t>
  </si>
  <si>
    <t>Сумма уплаченных процентов, руб.</t>
  </si>
  <si>
    <t>Частично-досрочное погашение</t>
  </si>
  <si>
    <t>Мин. платеж после досрочных погашений, руб.*</t>
  </si>
  <si>
    <t>*- все изменения ежемесячных платежей подсвечены зеленой заливкой в графике платежей</t>
  </si>
  <si>
    <t>в годах</t>
  </si>
  <si>
    <t>в месяцах</t>
  </si>
  <si>
    <t>Параметры кредита с учетом досрочных погашений</t>
  </si>
  <si>
    <t>Ежемесячынй платеж,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</si>
</sst>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u/>
      <sz val="11"/>
      <color rgb="FFC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7">
    <xf numFmtId="0" fontId="0" fillId="0" borderId="0" xfId="0"/>
    <xf numFmtId="14" fontId="0" fillId="3" borderId="1" xfId="0" applyNumberFormat="1" applyFill="1" applyBorder="1" applyProtection="1">
      <protection locked="0"/>
    </xf>
    <xf numFmtId="3" fontId="0" fillId="3" borderId="5" xfId="0" applyNumberFormat="1" applyFill="1" applyBorder="1" applyProtection="1">
      <protection locked="0"/>
    </xf>
    <xf numFmtId="10" fontId="0" fillId="3" borderId="1" xfId="1" applyNumberFormat="1" applyFont="1" applyFill="1" applyBorder="1" applyProtection="1">
      <protection locked="0"/>
    </xf>
    <xf numFmtId="0" fontId="0" fillId="3" borderId="15" xfId="0" applyFill="1" applyBorder="1" applyAlignment="1" applyProtection="1">
      <alignment horizontal="center" vertical="center"/>
      <protection locked="0"/>
    </xf>
    <xf numFmtId="4" fontId="0" fillId="3" borderId="15" xfId="0" applyNumberFormat="1" applyFill="1" applyBorder="1" applyProtection="1">
      <protection locked="0"/>
    </xf>
    <xf numFmtId="0" fontId="0" fillId="3" borderId="18" xfId="0" applyFill="1" applyBorder="1" applyAlignment="1" applyProtection="1">
      <alignment horizontal="center" vertical="center"/>
      <protection locked="0"/>
    </xf>
    <xf numFmtId="4" fontId="0" fillId="3" borderId="18" xfId="0" applyNumberFormat="1" applyFill="1" applyBorder="1" applyProtection="1">
      <protection locked="0"/>
    </xf>
    <xf numFmtId="0" fontId="0" fillId="4" borderId="0" xfId="0" applyFill="1" applyProtection="1">
      <protection hidden="1"/>
    </xf>
    <xf numFmtId="0" fontId="0" fillId="0" borderId="0" xfId="0" applyProtection="1">
      <protection hidden="1"/>
    </xf>
    <xf numFmtId="8" fontId="0" fillId="4" borderId="0" xfId="0" applyNumberFormat="1" applyFill="1" applyProtection="1">
      <protection hidden="1"/>
    </xf>
    <xf numFmtId="0" fontId="5" fillId="4" borderId="0" xfId="0" applyFont="1" applyFill="1" applyAlignment="1" applyProtection="1">
      <alignment horizontal="left"/>
      <protection hidden="1"/>
    </xf>
    <xf numFmtId="0" fontId="3" fillId="4" borderId="0" xfId="0" applyFont="1" applyFill="1" applyProtection="1">
      <protection hidden="1"/>
    </xf>
    <xf numFmtId="0" fontId="0" fillId="4" borderId="6" xfId="0" applyFont="1" applyFill="1" applyBorder="1" applyAlignment="1" applyProtection="1">
      <alignment horizontal="center" vertical="center" wrapText="1"/>
      <protection hidden="1"/>
    </xf>
    <xf numFmtId="0" fontId="0" fillId="4" borderId="7" xfId="0" applyFont="1" applyFill="1" applyBorder="1" applyAlignment="1" applyProtection="1">
      <alignment horizontal="center" vertical="center" wrapText="1"/>
      <protection hidden="1"/>
    </xf>
    <xf numFmtId="0" fontId="0" fillId="4" borderId="8" xfId="0" applyFont="1" applyFill="1" applyBorder="1" applyAlignment="1" applyProtection="1">
      <alignment horizontal="center" vertical="center" wrapText="1"/>
      <protection hidden="1"/>
    </xf>
    <xf numFmtId="0" fontId="0" fillId="4" borderId="9" xfId="0" applyFont="1" applyFill="1" applyBorder="1" applyAlignment="1" applyProtection="1">
      <alignment horizontal="center" vertical="center" wrapText="1"/>
      <protection hidden="1"/>
    </xf>
    <xf numFmtId="0" fontId="0" fillId="4" borderId="11" xfId="0" applyFill="1" applyBorder="1" applyProtection="1">
      <protection hidden="1"/>
    </xf>
    <xf numFmtId="0" fontId="0" fillId="4" borderId="12" xfId="0" applyFill="1" applyBorder="1" applyProtection="1">
      <protection hidden="1"/>
    </xf>
    <xf numFmtId="14" fontId="0" fillId="4" borderId="12" xfId="0" applyNumberFormat="1" applyFill="1" applyBorder="1" applyProtection="1">
      <protection hidden="1"/>
    </xf>
    <xf numFmtId="0" fontId="0" fillId="4" borderId="12" xfId="0" applyFill="1" applyBorder="1" applyAlignment="1" applyProtection="1">
      <alignment horizontal="center" vertical="center"/>
      <protection hidden="1"/>
    </xf>
    <xf numFmtId="4" fontId="0" fillId="4" borderId="12" xfId="0" applyNumberFormat="1" applyFill="1" applyBorder="1" applyProtection="1">
      <protection hidden="1"/>
    </xf>
    <xf numFmtId="0" fontId="0" fillId="4" borderId="13" xfId="0" applyFill="1" applyBorder="1" applyAlignment="1" applyProtection="1">
      <alignment horizontal="center" vertical="center"/>
      <protection hidden="1"/>
    </xf>
    <xf numFmtId="0" fontId="0" fillId="2" borderId="1" xfId="0" applyFill="1" applyBorder="1" applyProtection="1">
      <protection hidden="1"/>
    </xf>
    <xf numFmtId="0" fontId="0" fillId="4" borderId="14" xfId="0" applyFill="1" applyBorder="1" applyProtection="1">
      <protection hidden="1"/>
    </xf>
    <xf numFmtId="0" fontId="0" fillId="4" borderId="15" xfId="0" applyFill="1" applyBorder="1" applyProtection="1">
      <protection hidden="1"/>
    </xf>
    <xf numFmtId="14" fontId="0" fillId="4" borderId="15" xfId="0" applyNumberFormat="1" applyFill="1" applyBorder="1" applyProtection="1">
      <protection hidden="1"/>
    </xf>
    <xf numFmtId="4" fontId="0" fillId="4" borderId="15" xfId="0" applyNumberFormat="1" applyFill="1" applyBorder="1" applyProtection="1">
      <protection hidden="1"/>
    </xf>
    <xf numFmtId="4" fontId="0" fillId="4" borderId="16" xfId="0" applyNumberFormat="1" applyFill="1" applyBorder="1" applyProtection="1">
      <protection hidden="1"/>
    </xf>
    <xf numFmtId="3" fontId="0" fillId="0" borderId="0" xfId="0" applyNumberFormat="1" applyProtection="1">
      <protection hidden="1"/>
    </xf>
    <xf numFmtId="0" fontId="0" fillId="2" borderId="5" xfId="0" applyFill="1" applyBorder="1" applyProtection="1">
      <protection hidden="1"/>
    </xf>
    <xf numFmtId="4" fontId="0" fillId="4" borderId="1" xfId="0" applyNumberFormat="1" applyFill="1" applyBorder="1" applyProtection="1">
      <protection hidden="1"/>
    </xf>
    <xf numFmtId="0" fontId="0" fillId="4" borderId="0" xfId="0" applyFill="1" applyBorder="1" applyProtection="1">
      <protection hidden="1"/>
    </xf>
    <xf numFmtId="0" fontId="4" fillId="2" borderId="1" xfId="0" applyFont="1" applyFill="1" applyBorder="1" applyAlignment="1" applyProtection="1">
      <alignment horizontal="right"/>
      <protection hidden="1"/>
    </xf>
    <xf numFmtId="3" fontId="0" fillId="4" borderId="1" xfId="0" applyNumberFormat="1" applyFill="1" applyBorder="1" applyProtection="1">
      <protection hidden="1"/>
    </xf>
    <xf numFmtId="14" fontId="0" fillId="0" borderId="1" xfId="0" applyNumberFormat="1" applyFill="1" applyBorder="1" applyProtection="1">
      <protection hidden="1"/>
    </xf>
    <xf numFmtId="3" fontId="0" fillId="4" borderId="0" xfId="0" applyNumberFormat="1" applyFill="1" applyProtection="1">
      <protection hidden="1"/>
    </xf>
    <xf numFmtId="0" fontId="0" fillId="4" borderId="17" xfId="0" applyFill="1" applyBorder="1" applyProtection="1">
      <protection hidden="1"/>
    </xf>
    <xf numFmtId="0" fontId="0" fillId="4" borderId="18" xfId="0" applyFill="1" applyBorder="1" applyProtection="1">
      <protection hidden="1"/>
    </xf>
    <xf numFmtId="14" fontId="0" fillId="4" borderId="18" xfId="0" applyNumberFormat="1" applyFill="1" applyBorder="1" applyProtection="1">
      <protection hidden="1"/>
    </xf>
    <xf numFmtId="4" fontId="0" fillId="4" borderId="18" xfId="0" applyNumberFormat="1" applyFill="1" applyBorder="1" applyProtection="1">
      <protection hidden="1"/>
    </xf>
    <xf numFmtId="4" fontId="0" fillId="4" borderId="19" xfId="0" applyNumberFormat="1" applyFill="1" applyBorder="1" applyProtection="1">
      <protection hidden="1"/>
    </xf>
    <xf numFmtId="3" fontId="4" fillId="4" borderId="10" xfId="0" applyNumberFormat="1" applyFont="1" applyFill="1" applyBorder="1" applyAlignment="1" applyProtection="1">
      <alignment horizontal="left" vertical="center" wrapText="1"/>
      <protection hidden="1"/>
    </xf>
    <xf numFmtId="3" fontId="4" fillId="4" borderId="0" xfId="0" applyNumberFormat="1" applyFont="1" applyFill="1" applyAlignment="1" applyProtection="1">
      <alignment horizontal="left" vertical="center" wrapText="1"/>
      <protection hidden="1"/>
    </xf>
    <xf numFmtId="0" fontId="1" fillId="4" borderId="2" xfId="0" applyFont="1" applyFill="1" applyBorder="1" applyAlignment="1" applyProtection="1">
      <alignment horizontal="center"/>
      <protection hidden="1"/>
    </xf>
    <xf numFmtId="0" fontId="1" fillId="4" borderId="4" xfId="0" applyFont="1" applyFill="1" applyBorder="1" applyAlignment="1" applyProtection="1">
      <alignment horizontal="center"/>
      <protection hidden="1"/>
    </xf>
    <xf numFmtId="0" fontId="1" fillId="4" borderId="3" xfId="0" applyFont="1" applyFill="1" applyBorder="1" applyAlignment="1" applyProtection="1">
      <alignment horizontal="center"/>
      <protection hidden="1"/>
    </xf>
  </cellXfs>
  <cellStyles count="2">
    <cellStyle name="Обычный" xfId="0" builtinId="0"/>
    <cellStyle name="Процентный" xfId="1" builtinId="5"/>
  </cellStyles>
  <dxfs count="92"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1.224043648432689E-2"/>
                  <c:y val="-4.2546386228441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25-F84B-BF18-09410CC5A6D5}"/>
                </c:ext>
              </c:extLst>
            </c:dLbl>
            <c:dLbl>
              <c:idx val="11"/>
              <c:layout>
                <c:manualLayout>
                  <c:x val="-1.4688523781192227E-2"/>
                  <c:y val="-2.9110685314197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25-F84B-BF18-09410CC5A6D5}"/>
                </c:ext>
              </c:extLst>
            </c:dLbl>
            <c:spPr>
              <a:solidFill>
                <a:schemeClr val="bg1">
                  <a:lumMod val="85000"/>
                </a:schemeClr>
              </a:solidFill>
            </c:spPr>
            <c:txPr>
              <a:bodyPr/>
              <a:lstStyle/>
              <a:p>
                <a:pPr algn="ctr">
                  <a:defRPr lang="ru-RU" sz="1400" b="1" i="0" u="none" strike="noStrike" kern="1200" baseline="0">
                    <a:solidFill>
                      <a:schemeClr val="accen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calc!#REF!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2825-F84B-BF18-09410CC5A6D5}"/>
            </c:ext>
          </c:extLst>
        </c:ser>
        <c:ser>
          <c:idx val="1"/>
          <c:order val="1"/>
          <c:dLbls>
            <c:dLbl>
              <c:idx val="1"/>
              <c:layout>
                <c:manualLayout>
                  <c:x val="1.713661107805765E-2"/>
                  <c:y val="-2.23945980724175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25-F84B-BF18-09410CC5A6D5}"/>
                </c:ext>
              </c:extLst>
            </c:dLbl>
            <c:dLbl>
              <c:idx val="11"/>
              <c:layout>
                <c:manualLayout>
                  <c:x val="1.8360654726490382E-2"/>
                  <c:y val="2.01535513713671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25-F84B-BF18-09410CC5A6D5}"/>
                </c:ext>
              </c:extLst>
            </c:dLbl>
            <c:spPr>
              <a:solidFill>
                <a:schemeClr val="bg1">
                  <a:lumMod val="85000"/>
                </a:schemeClr>
              </a:solidFill>
            </c:spPr>
            <c:txPr>
              <a:bodyPr/>
              <a:lstStyle/>
              <a:p>
                <a:pPr algn="ctr">
                  <a:defRPr lang="ru-RU" sz="1400" b="1" i="0" u="none" strike="noStrike" kern="1200" baseline="0">
                    <a:solidFill>
                      <a:schemeClr val="accent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calc!#REF!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2825-F84B-BF18-09410CC5A6D5}"/>
            </c:ext>
          </c:extLst>
        </c:ser>
        <c:ser>
          <c:idx val="2"/>
          <c:order val="2"/>
          <c:dLbls>
            <c:dLbl>
              <c:idx val="2"/>
              <c:layout>
                <c:manualLayout>
                  <c:x val="-5.75300514763364E-2"/>
                  <c:y val="8.95713394282986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25-F84B-BF18-09410CC5A6D5}"/>
                </c:ext>
              </c:extLst>
            </c:dLbl>
            <c:dLbl>
              <c:idx val="12"/>
              <c:layout>
                <c:manualLayout>
                  <c:x val="2.4480872968653793E-3"/>
                  <c:y val="4.2546386228441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825-F84B-BF18-09410CC5A6D5}"/>
                </c:ext>
              </c:extLst>
            </c:dLbl>
            <c:spPr>
              <a:solidFill>
                <a:schemeClr val="bg1">
                  <a:lumMod val="85000"/>
                </a:schemeClr>
              </a:solidFill>
            </c:spPr>
            <c:txPr>
              <a:bodyPr/>
              <a:lstStyle/>
              <a:p>
                <a:pPr algn="ctr">
                  <a:defRPr lang="ru-RU" sz="1400" b="1" i="0" u="none" strike="noStrike" kern="1200" baseline="0">
                    <a:solidFill>
                      <a:schemeClr val="accent3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calc!#REF!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2825-F84B-BF18-09410CC5A6D5}"/>
            </c:ext>
          </c:extLst>
        </c:ser>
        <c:ser>
          <c:idx val="3"/>
          <c:order val="3"/>
          <c:dLbls>
            <c:dLbl>
              <c:idx val="3"/>
              <c:layout>
                <c:manualLayout>
                  <c:x val="-8.0786880796557506E-2"/>
                  <c:y val="2.91106853141970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25-F84B-BF18-09410CC5A6D5}"/>
                </c:ext>
              </c:extLst>
            </c:dLbl>
            <c:dLbl>
              <c:idx val="13"/>
              <c:layout>
                <c:manualLayout>
                  <c:x val="9.7923491874615156E-3"/>
                  <c:y val="2.463211834278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825-F84B-BF18-09410CC5A6D5}"/>
                </c:ext>
              </c:extLst>
            </c:dLbl>
            <c:spPr>
              <a:solidFill>
                <a:schemeClr val="bg1">
                  <a:lumMod val="85000"/>
                </a:schemeClr>
              </a:solidFill>
            </c:spPr>
            <c:txPr>
              <a:bodyPr/>
              <a:lstStyle/>
              <a:p>
                <a:pPr algn="ctr">
                  <a:defRPr lang="ru-RU" sz="1400" b="1" i="0" u="none" strike="noStrike" kern="1200" baseline="0">
                    <a:solidFill>
                      <a:schemeClr val="accent4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calc!#REF!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2825-F84B-BF18-09410CC5A6D5}"/>
            </c:ext>
          </c:extLst>
        </c:ser>
        <c:ser>
          <c:idx val="4"/>
          <c:order val="4"/>
          <c:dLbls>
            <c:dLbl>
              <c:idx val="4"/>
              <c:layout>
                <c:manualLayout>
                  <c:x val="-6.6098357015365219E-2"/>
                  <c:y val="4.47856697141493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25-F84B-BF18-09410CC5A6D5}"/>
                </c:ext>
              </c:extLst>
            </c:dLbl>
            <c:dLbl>
              <c:idx val="14"/>
              <c:layout>
                <c:manualLayout>
                  <c:x val="-1.1016392835894199E-2"/>
                  <c:y val="5.15035201712716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825-F84B-BF18-09410CC5A6D5}"/>
                </c:ext>
              </c:extLst>
            </c:dLbl>
            <c:spPr>
              <a:solidFill>
                <a:schemeClr val="bg1">
                  <a:lumMod val="85000"/>
                </a:schemeClr>
              </a:solidFill>
            </c:spPr>
            <c:txPr>
              <a:bodyPr/>
              <a:lstStyle/>
              <a:p>
                <a:pPr algn="ctr">
                  <a:defRPr lang="ru-RU" sz="1400" b="1" i="0" u="none" strike="noStrike" kern="1200" baseline="0">
                    <a:solidFill>
                      <a:schemeClr val="accent5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calc!#REF!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2825-F84B-BF18-09410CC5A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40512"/>
        <c:axId val="177842048"/>
      </c:lineChart>
      <c:catAx>
        <c:axId val="17784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1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ru-RU"/>
          </a:p>
        </c:txPr>
        <c:crossAx val="177842048"/>
        <c:crosses val="autoZero"/>
        <c:auto val="1"/>
        <c:lblAlgn val="ctr"/>
        <c:lblOffset val="100"/>
        <c:noMultiLvlLbl val="0"/>
      </c:catAx>
      <c:valAx>
        <c:axId val="177842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78405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2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125184</xdr:rowOff>
    </xdr:from>
    <xdr:to>
      <xdr:col>0</xdr:col>
      <xdr:colOff>0</xdr:colOff>
      <xdr:row>24</xdr:row>
      <xdr:rowOff>40820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0.16984</cdr:x>
      <cdr:y>0.18186</cdr:y>
    </cdr:from>
    <cdr:to>
      <cdr:x>0.38098</cdr:x>
      <cdr:y>0.375</cdr:y>
    </cdr:to>
    <cdr:cxnSp macro="">
      <cdr:nvCxnSpPr>
        <cdr:cNvPr id="3" name="Прямая со стрелкой 2">
          <a:extLst xmlns:a="http://schemas.openxmlformats.org/drawingml/2006/main">
            <a:ext uri="{FF2B5EF4-FFF2-40B4-BE49-F238E27FC236}">
              <a16:creationId xmlns:a16="http://schemas.microsoft.com/office/drawing/2014/main" id="{475C9039-4BCA-454C-B623-8D6826176BC2}"/>
            </a:ext>
          </a:extLst>
        </cdr:cNvPr>
        <cdr:cNvCxnSpPr/>
      </cdr:nvCxnSpPr>
      <cdr:spPr>
        <a:xfrm xmlns:a="http://schemas.openxmlformats.org/drawingml/2006/main">
          <a:off x="1762124" y="1031410"/>
          <a:ext cx="2190752" cy="1095394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1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0.23672</cdr:x>
      <cdr:y>0.15547</cdr:y>
    </cdr:from>
    <cdr:to>
      <cdr:x>0.92656</cdr:x>
      <cdr:y>0.22745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456088" y="881743"/>
          <a:ext cx="7157359" cy="4082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1400">
              <a:latin typeface="Arial" panose="020B0604020202020204" pitchFamily="34" charset="0"/>
              <a:cs typeface="Arial" panose="020B0604020202020204" pitchFamily="34" charset="0"/>
            </a:rPr>
            <a:t>Ежегодное</a:t>
          </a:r>
          <a:r>
            <a:rPr lang="ru-RU" sz="1400" baseline="0">
              <a:latin typeface="Arial" panose="020B0604020202020204" pitchFamily="34" charset="0"/>
              <a:cs typeface="Arial" panose="020B0604020202020204" pitchFamily="34" charset="0"/>
            </a:rPr>
            <a:t> снижение маржи на </a:t>
          </a:r>
          <a:r>
            <a:rPr lang="ru-RU" sz="1400" b="1" baseline="0">
              <a:latin typeface="Arial" panose="020B0604020202020204" pitchFamily="34" charset="0"/>
              <a:cs typeface="Arial" panose="020B0604020202020204" pitchFamily="34" charset="0"/>
            </a:rPr>
            <a:t>0,25 п.п. </a:t>
          </a:r>
          <a:r>
            <a:rPr lang="ru-RU" sz="1400" baseline="0">
              <a:latin typeface="Arial" panose="020B0604020202020204" pitchFamily="34" charset="0"/>
              <a:cs typeface="Arial" panose="020B0604020202020204" pitchFamily="34" charset="0"/>
            </a:rPr>
            <a:t>в течение первых 10 лет жизни кредита</a:t>
          </a:r>
          <a:endParaRPr lang="ru-RU" sz="14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V377"/>
  <sheetViews>
    <sheetView tabSelected="1" zoomScaleNormal="100" workbookViewId="0">
      <pane ySplit="24" topLeftCell="A25" activePane="bottomLeft" state="frozen"/>
      <selection activeCell="D7" sqref="D7"/>
      <selection pane="bottomLeft" activeCell="K5" sqref="K5"/>
    </sheetView>
  </sheetViews>
  <sheetFormatPr defaultColWidth="0" defaultRowHeight="15" zeroHeight="1" x14ac:dyDescent="0.25"/>
  <cols>
    <col min="1" max="1" width="2.42578125" style="9" customWidth="1"/>
    <col min="2" max="2" width="45.42578125" style="9" customWidth="1"/>
    <col min="3" max="3" width="12" style="9" customWidth="1"/>
    <col min="4" max="4" width="13.42578125" style="9" customWidth="1"/>
    <col min="5" max="5" width="4.7109375" style="9" customWidth="1"/>
    <col min="6" max="6" width="7.28515625" style="9" bestFit="1" customWidth="1"/>
    <col min="7" max="7" width="8.7109375" style="9" bestFit="1" customWidth="1"/>
    <col min="8" max="9" width="12.85546875" style="9" bestFit="1" customWidth="1"/>
    <col min="10" max="10" width="10.28515625" style="9" bestFit="1" customWidth="1"/>
    <col min="11" max="11" width="32.42578125" style="9" bestFit="1" customWidth="1"/>
    <col min="12" max="12" width="13.7109375" style="9" bestFit="1" customWidth="1"/>
    <col min="13" max="13" width="18" style="9" customWidth="1"/>
    <col min="14" max="14" width="13.85546875" style="9" bestFit="1" customWidth="1"/>
    <col min="15" max="15" width="11.28515625" style="9" bestFit="1" customWidth="1"/>
    <col min="16" max="16" width="10.42578125" style="9" customWidth="1"/>
    <col min="17" max="17" width="17.140625" style="9" customWidth="1"/>
    <col min="18" max="18" width="9.140625" style="9" customWidth="1"/>
    <col min="19" max="19" width="9.140625" style="9" hidden="1" customWidth="1"/>
    <col min="20" max="22" width="0" style="9" hidden="1" customWidth="1"/>
    <col min="23" max="16384" width="9.140625" style="9" hidden="1"/>
  </cols>
  <sheetData>
    <row r="1" spans="1:22" ht="15.75" thickBo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22" ht="15.75" thickBot="1" x14ac:dyDescent="0.3">
      <c r="A2" s="8"/>
      <c r="B2" s="10"/>
      <c r="C2" s="8"/>
      <c r="D2" s="8"/>
      <c r="E2" s="8"/>
      <c r="F2" s="8"/>
      <c r="G2" s="8"/>
      <c r="H2" s="8"/>
      <c r="I2" s="8"/>
      <c r="J2" s="8"/>
      <c r="K2" s="44" t="s">
        <v>24</v>
      </c>
      <c r="L2" s="45"/>
      <c r="M2" s="44" t="s">
        <v>3</v>
      </c>
      <c r="N2" s="46"/>
      <c r="O2" s="46"/>
      <c r="P2" s="46"/>
      <c r="Q2" s="45"/>
      <c r="R2" s="8"/>
    </row>
    <row r="3" spans="1:22" ht="60.75" thickBot="1" x14ac:dyDescent="0.3">
      <c r="A3" s="8"/>
      <c r="B3" s="11" t="s">
        <v>11</v>
      </c>
      <c r="C3" s="8"/>
      <c r="D3" s="8"/>
      <c r="E3" s="12"/>
      <c r="F3" s="13" t="s">
        <v>2</v>
      </c>
      <c r="G3" s="14" t="s">
        <v>17</v>
      </c>
      <c r="H3" s="14" t="s">
        <v>18</v>
      </c>
      <c r="I3" s="14" t="s">
        <v>19</v>
      </c>
      <c r="J3" s="15" t="s">
        <v>5</v>
      </c>
      <c r="K3" s="13" t="s">
        <v>13</v>
      </c>
      <c r="L3" s="16" t="s">
        <v>16</v>
      </c>
      <c r="M3" s="13" t="s">
        <v>8</v>
      </c>
      <c r="N3" s="14" t="s">
        <v>12</v>
      </c>
      <c r="O3" s="14" t="s">
        <v>0</v>
      </c>
      <c r="P3" s="14" t="s">
        <v>1</v>
      </c>
      <c r="Q3" s="16" t="s">
        <v>7</v>
      </c>
      <c r="R3" s="8"/>
    </row>
    <row r="4" spans="1:22" x14ac:dyDescent="0.25">
      <c r="A4" s="8"/>
      <c r="B4" s="8"/>
      <c r="C4" s="10"/>
      <c r="D4" s="8"/>
      <c r="E4" s="8"/>
      <c r="F4" s="17">
        <f>DATE(YEAR(I4),12,31)-DATE(YEAR(I4),1,1)+1</f>
        <v>365</v>
      </c>
      <c r="G4" s="18">
        <v>0</v>
      </c>
      <c r="H4" s="18"/>
      <c r="I4" s="19">
        <f>$C$5</f>
        <v>44609</v>
      </c>
      <c r="J4" s="18"/>
      <c r="K4" s="20"/>
      <c r="L4" s="21"/>
      <c r="M4" s="18"/>
      <c r="N4" s="21">
        <f>-$C$7</f>
        <v>-2880000</v>
      </c>
      <c r="O4" s="20"/>
      <c r="P4" s="20"/>
      <c r="Q4" s="22"/>
      <c r="R4" s="8"/>
      <c r="V4" s="9" t="s">
        <v>14</v>
      </c>
    </row>
    <row r="5" spans="1:22" x14ac:dyDescent="0.25">
      <c r="A5" s="8"/>
      <c r="B5" s="23" t="s">
        <v>4</v>
      </c>
      <c r="C5" s="1">
        <v>44609</v>
      </c>
      <c r="D5" s="8"/>
      <c r="E5" s="8"/>
      <c r="F5" s="24">
        <f>DATE(YEAR(I5),12,31)-DATE(YEAR(I5),1,1)+1</f>
        <v>365</v>
      </c>
      <c r="G5" s="25">
        <v>1</v>
      </c>
      <c r="H5" s="26">
        <f>I4</f>
        <v>44609</v>
      </c>
      <c r="I5" s="26">
        <f>$C$6</f>
        <v>45002</v>
      </c>
      <c r="J5" s="25">
        <f t="shared" ref="J5:J68" si="0">ROUNDUP(G5/12,0)</f>
        <v>1</v>
      </c>
      <c r="K5" s="4"/>
      <c r="L5" s="5"/>
      <c r="M5" s="27">
        <f>$C$7</f>
        <v>2880000</v>
      </c>
      <c r="N5" s="27">
        <f>P5</f>
        <v>303891.28999999998</v>
      </c>
      <c r="O5" s="27"/>
      <c r="P5" s="27">
        <f>IFERROR(IF($C$8*12&gt;=G5,ROUND($Q$5*$C$9*DATEDIF(H5,I5,"d")/F5,2),0),"-")</f>
        <v>303891.28999999998</v>
      </c>
      <c r="Q5" s="28">
        <f>M5</f>
        <v>2880000</v>
      </c>
      <c r="R5" s="8"/>
      <c r="S5" s="29">
        <f>IF(AND(K4=$V$4,L4&gt;0),1,0)</f>
        <v>0</v>
      </c>
      <c r="T5" s="29">
        <f>IF(M5=0,1,0)</f>
        <v>0</v>
      </c>
      <c r="V5" s="9" t="s">
        <v>15</v>
      </c>
    </row>
    <row r="6" spans="1:22" x14ac:dyDescent="0.25">
      <c r="A6" s="8"/>
      <c r="B6" s="23" t="s">
        <v>21</v>
      </c>
      <c r="C6" s="1">
        <v>45002</v>
      </c>
      <c r="D6" s="8"/>
      <c r="E6" s="8"/>
      <c r="F6" s="24">
        <f t="shared" ref="F6:F69" si="1">DATE(YEAR(I6),12,31)-DATE(YEAR(I6),1,1)+1</f>
        <v>365</v>
      </c>
      <c r="G6" s="25">
        <v>2</v>
      </c>
      <c r="H6" s="26">
        <f>I5</f>
        <v>45002</v>
      </c>
      <c r="I6" s="26">
        <f>EDATE(I5,1)</f>
        <v>45033</v>
      </c>
      <c r="J6" s="25">
        <f t="shared" si="0"/>
        <v>1</v>
      </c>
      <c r="K6" s="4"/>
      <c r="L6" s="5"/>
      <c r="M6" s="27">
        <f>Q5</f>
        <v>2880000</v>
      </c>
      <c r="N6" s="27">
        <f>IF(M6&lt;$C$10,M6*((1+$C$9*(DATEDIF(H6,I6,"d")+1)/F6)),IF(AND(L5&lt;&gt;0,K5=$V$4),ROUND(M6*$C$9/12/(1-(1+$C$9/12)^(-(($C$8*12-G5)-1))),2),IF(G6=2,$C$10,N5)))</f>
        <v>24860.94</v>
      </c>
      <c r="O6" s="27">
        <f>IFERROR(IF(M6&gt;N6,N6-P6,M6),"-")</f>
        <v>889.86999999999898</v>
      </c>
      <c r="P6" s="27">
        <f>IFERROR(IF($C$8*12&gt;=G6,ROUND(M6*$C$9*DATEDIF(H6,I6,"d")/F6,2),0),"-")</f>
        <v>23971.07</v>
      </c>
      <c r="Q6" s="28">
        <f>M6-O6-IF(K6="",0,L6)</f>
        <v>2879110.13</v>
      </c>
      <c r="R6" s="8"/>
      <c r="S6" s="29">
        <f t="shared" ref="S6:S69" si="2">IF(AND(K5=$V$4,L5&gt;0),1,0)</f>
        <v>0</v>
      </c>
      <c r="T6" s="29"/>
    </row>
    <row r="7" spans="1:22" x14ac:dyDescent="0.25">
      <c r="A7" s="8"/>
      <c r="B7" s="30" t="s">
        <v>6</v>
      </c>
      <c r="C7" s="2">
        <v>2880000</v>
      </c>
      <c r="D7" s="8"/>
      <c r="E7" s="8"/>
      <c r="F7" s="24">
        <f t="shared" si="1"/>
        <v>365</v>
      </c>
      <c r="G7" s="25">
        <v>3</v>
      </c>
      <c r="H7" s="26">
        <f t="shared" ref="H7:H69" si="3">I6</f>
        <v>45033</v>
      </c>
      <c r="I7" s="26">
        <f t="shared" ref="I7:I70" si="4">EDATE(I6,1)</f>
        <v>45063</v>
      </c>
      <c r="J7" s="25">
        <f t="shared" si="0"/>
        <v>1</v>
      </c>
      <c r="K7" s="4"/>
      <c r="L7" s="5"/>
      <c r="M7" s="27">
        <f t="shared" ref="M7:M70" si="5">Q6</f>
        <v>2879110.13</v>
      </c>
      <c r="N7" s="27">
        <f t="shared" ref="N7:N70" si="6">IF(M7&lt;$C$10,M7*((1+$C$9*(DATEDIF(H7,I7,"d")+1)/F7)),IF(AND(L6&lt;&gt;0,K6=$V$4),ROUND(M7*$C$9/12/(1-(1+$C$9/12)^(-(($C$8*12-G6)-1))),2),IF(G7=2,$C$10,N6)))</f>
        <v>24860.94</v>
      </c>
      <c r="O7" s="27">
        <f t="shared" ref="O7:O70" si="7">IFERROR(IF(M7&gt;N7,N7-P7,M7),"-")</f>
        <v>1670.2999999999993</v>
      </c>
      <c r="P7" s="27">
        <f t="shared" ref="P7:P70" si="8">IFERROR(IF($C$8*12&gt;=G7,ROUND(M7*$C$9*DATEDIF(H7,I7,"d")/F7,2),0),"-")</f>
        <v>23190.639999999999</v>
      </c>
      <c r="Q7" s="28">
        <f t="shared" ref="Q7:Q70" si="9">M7-O7-IF(K7="",0,L7)</f>
        <v>2877439.83</v>
      </c>
      <c r="R7" s="8"/>
      <c r="S7" s="29">
        <f t="shared" si="2"/>
        <v>0</v>
      </c>
      <c r="T7" s="29"/>
    </row>
    <row r="8" spans="1:22" x14ac:dyDescent="0.25">
      <c r="A8" s="8"/>
      <c r="B8" s="30" t="s">
        <v>9</v>
      </c>
      <c r="C8" s="2">
        <v>30</v>
      </c>
      <c r="D8" s="8"/>
      <c r="E8" s="8"/>
      <c r="F8" s="24">
        <f t="shared" si="1"/>
        <v>365</v>
      </c>
      <c r="G8" s="25">
        <v>4</v>
      </c>
      <c r="H8" s="26">
        <f t="shared" si="3"/>
        <v>45063</v>
      </c>
      <c r="I8" s="26">
        <f t="shared" si="4"/>
        <v>45094</v>
      </c>
      <c r="J8" s="25">
        <f t="shared" si="0"/>
        <v>1</v>
      </c>
      <c r="K8" s="4"/>
      <c r="L8" s="5"/>
      <c r="M8" s="27">
        <f t="shared" si="5"/>
        <v>2877439.83</v>
      </c>
      <c r="N8" s="27">
        <f t="shared" si="6"/>
        <v>24860.94</v>
      </c>
      <c r="O8" s="27">
        <f t="shared" si="7"/>
        <v>911.18000000000029</v>
      </c>
      <c r="P8" s="27">
        <f t="shared" si="8"/>
        <v>23949.759999999998</v>
      </c>
      <c r="Q8" s="28">
        <f t="shared" si="9"/>
        <v>2876528.65</v>
      </c>
      <c r="R8" s="8"/>
      <c r="S8" s="29">
        <f t="shared" si="2"/>
        <v>0</v>
      </c>
      <c r="T8" s="29"/>
    </row>
    <row r="9" spans="1:22" x14ac:dyDescent="0.25">
      <c r="A9" s="8"/>
      <c r="B9" s="23" t="s">
        <v>10</v>
      </c>
      <c r="C9" s="3">
        <v>9.8000000000000004E-2</v>
      </c>
      <c r="D9" s="8"/>
      <c r="E9" s="8"/>
      <c r="F9" s="24">
        <f t="shared" si="1"/>
        <v>365</v>
      </c>
      <c r="G9" s="25">
        <v>5</v>
      </c>
      <c r="H9" s="26">
        <f t="shared" si="3"/>
        <v>45094</v>
      </c>
      <c r="I9" s="26">
        <f t="shared" si="4"/>
        <v>45124</v>
      </c>
      <c r="J9" s="25">
        <f t="shared" si="0"/>
        <v>1</v>
      </c>
      <c r="K9" s="4"/>
      <c r="L9" s="5"/>
      <c r="M9" s="27">
        <f t="shared" si="5"/>
        <v>2876528.65</v>
      </c>
      <c r="N9" s="27">
        <f t="shared" si="6"/>
        <v>24860.94</v>
      </c>
      <c r="O9" s="27">
        <f t="shared" si="7"/>
        <v>1691.0900000000001</v>
      </c>
      <c r="P9" s="27">
        <f t="shared" si="8"/>
        <v>23169.85</v>
      </c>
      <c r="Q9" s="28">
        <f t="shared" si="9"/>
        <v>2874837.56</v>
      </c>
      <c r="R9" s="8"/>
      <c r="S9" s="29">
        <f t="shared" si="2"/>
        <v>0</v>
      </c>
      <c r="T9" s="29"/>
    </row>
    <row r="10" spans="1:22" x14ac:dyDescent="0.25">
      <c r="A10" s="8"/>
      <c r="B10" s="23" t="s">
        <v>30</v>
      </c>
      <c r="C10" s="31">
        <f>ROUND($C$7*$C$9/12/(1-(1+$C$9/12)^(-($C$8*12-1))),2)</f>
        <v>24860.94</v>
      </c>
      <c r="D10" s="8"/>
      <c r="E10" s="8"/>
      <c r="F10" s="24">
        <f t="shared" si="1"/>
        <v>365</v>
      </c>
      <c r="G10" s="25">
        <v>6</v>
      </c>
      <c r="H10" s="26">
        <f t="shared" si="3"/>
        <v>45124</v>
      </c>
      <c r="I10" s="26">
        <f t="shared" si="4"/>
        <v>45155</v>
      </c>
      <c r="J10" s="25">
        <f t="shared" si="0"/>
        <v>1</v>
      </c>
      <c r="K10" s="4"/>
      <c r="L10" s="5"/>
      <c r="M10" s="27">
        <f t="shared" si="5"/>
        <v>2874837.56</v>
      </c>
      <c r="N10" s="27">
        <f t="shared" si="6"/>
        <v>24860.94</v>
      </c>
      <c r="O10" s="27">
        <f t="shared" si="7"/>
        <v>932.84000000000015</v>
      </c>
      <c r="P10" s="27">
        <f t="shared" si="8"/>
        <v>23928.1</v>
      </c>
      <c r="Q10" s="28">
        <f t="shared" si="9"/>
        <v>2873904.72</v>
      </c>
      <c r="R10" s="8"/>
      <c r="S10" s="29">
        <f t="shared" si="2"/>
        <v>0</v>
      </c>
      <c r="T10" s="29"/>
    </row>
    <row r="11" spans="1:22" x14ac:dyDescent="0.25">
      <c r="A11" s="8"/>
      <c r="B11" s="8"/>
      <c r="C11" s="8"/>
      <c r="D11" s="8"/>
      <c r="E11" s="8"/>
      <c r="F11" s="24">
        <f t="shared" si="1"/>
        <v>365</v>
      </c>
      <c r="G11" s="25">
        <v>7</v>
      </c>
      <c r="H11" s="26">
        <f t="shared" si="3"/>
        <v>45155</v>
      </c>
      <c r="I11" s="26">
        <f t="shared" si="4"/>
        <v>45186</v>
      </c>
      <c r="J11" s="25">
        <f t="shared" si="0"/>
        <v>1</v>
      </c>
      <c r="K11" s="4"/>
      <c r="L11" s="5"/>
      <c r="M11" s="27">
        <f t="shared" si="5"/>
        <v>2873904.72</v>
      </c>
      <c r="N11" s="27">
        <f t="shared" si="6"/>
        <v>24860.94</v>
      </c>
      <c r="O11" s="27">
        <f t="shared" si="7"/>
        <v>940.59999999999854</v>
      </c>
      <c r="P11" s="27">
        <f t="shared" si="8"/>
        <v>23920.34</v>
      </c>
      <c r="Q11" s="28">
        <f t="shared" si="9"/>
        <v>2872964.12</v>
      </c>
      <c r="R11" s="8"/>
      <c r="S11" s="29">
        <f t="shared" si="2"/>
        <v>0</v>
      </c>
      <c r="T11" s="29"/>
    </row>
    <row r="12" spans="1:22" x14ac:dyDescent="0.25">
      <c r="A12" s="8"/>
      <c r="B12" s="8"/>
      <c r="C12" s="8"/>
      <c r="D12" s="8"/>
      <c r="E12" s="8"/>
      <c r="F12" s="24">
        <f t="shared" si="1"/>
        <v>365</v>
      </c>
      <c r="G12" s="25">
        <v>8</v>
      </c>
      <c r="H12" s="26">
        <f t="shared" si="3"/>
        <v>45186</v>
      </c>
      <c r="I12" s="26">
        <f t="shared" si="4"/>
        <v>45216</v>
      </c>
      <c r="J12" s="25">
        <f t="shared" si="0"/>
        <v>1</v>
      </c>
      <c r="K12" s="4"/>
      <c r="L12" s="5"/>
      <c r="M12" s="27">
        <f t="shared" si="5"/>
        <v>2872964.12</v>
      </c>
      <c r="N12" s="27">
        <f t="shared" si="6"/>
        <v>24860.94</v>
      </c>
      <c r="O12" s="27">
        <f t="shared" si="7"/>
        <v>1719.7999999999993</v>
      </c>
      <c r="P12" s="27">
        <f t="shared" si="8"/>
        <v>23141.14</v>
      </c>
      <c r="Q12" s="28">
        <f t="shared" si="9"/>
        <v>2871244.3200000003</v>
      </c>
      <c r="R12" s="8"/>
      <c r="S12" s="29">
        <f t="shared" si="2"/>
        <v>0</v>
      </c>
      <c r="T12" s="29"/>
      <c r="U12" s="29"/>
    </row>
    <row r="13" spans="1:22" x14ac:dyDescent="0.25">
      <c r="A13" s="8"/>
      <c r="B13" s="8"/>
      <c r="C13" s="8"/>
      <c r="D13" s="32"/>
      <c r="E13" s="8"/>
      <c r="F13" s="24">
        <f t="shared" si="1"/>
        <v>365</v>
      </c>
      <c r="G13" s="25">
        <v>9</v>
      </c>
      <c r="H13" s="26">
        <f t="shared" si="3"/>
        <v>45216</v>
      </c>
      <c r="I13" s="26">
        <f t="shared" si="4"/>
        <v>45247</v>
      </c>
      <c r="J13" s="25">
        <f t="shared" si="0"/>
        <v>1</v>
      </c>
      <c r="K13" s="4"/>
      <c r="L13" s="5"/>
      <c r="M13" s="27">
        <f t="shared" si="5"/>
        <v>2871244.3200000003</v>
      </c>
      <c r="N13" s="27">
        <f t="shared" si="6"/>
        <v>24860.94</v>
      </c>
      <c r="O13" s="27">
        <f t="shared" si="7"/>
        <v>962.75</v>
      </c>
      <c r="P13" s="27">
        <f t="shared" si="8"/>
        <v>23898.19</v>
      </c>
      <c r="Q13" s="28">
        <f t="shared" si="9"/>
        <v>2870281.5700000003</v>
      </c>
      <c r="R13" s="8"/>
      <c r="S13" s="29">
        <f t="shared" si="2"/>
        <v>0</v>
      </c>
      <c r="T13" s="29"/>
    </row>
    <row r="14" spans="1:22" x14ac:dyDescent="0.25">
      <c r="A14" s="8"/>
      <c r="B14" s="11" t="s">
        <v>29</v>
      </c>
      <c r="C14" s="8"/>
      <c r="D14" s="8"/>
      <c r="E14" s="8"/>
      <c r="F14" s="24">
        <f t="shared" si="1"/>
        <v>365</v>
      </c>
      <c r="G14" s="25">
        <v>10</v>
      </c>
      <c r="H14" s="26">
        <f t="shared" si="3"/>
        <v>45247</v>
      </c>
      <c r="I14" s="26">
        <f t="shared" si="4"/>
        <v>45277</v>
      </c>
      <c r="J14" s="25">
        <f t="shared" si="0"/>
        <v>1</v>
      </c>
      <c r="K14" s="4"/>
      <c r="L14" s="5"/>
      <c r="M14" s="27">
        <f t="shared" si="5"/>
        <v>2870281.5700000003</v>
      </c>
      <c r="N14" s="27">
        <f t="shared" si="6"/>
        <v>24860.94</v>
      </c>
      <c r="O14" s="27">
        <f t="shared" si="7"/>
        <v>1741.4099999999999</v>
      </c>
      <c r="P14" s="27">
        <f t="shared" si="8"/>
        <v>23119.53</v>
      </c>
      <c r="Q14" s="28">
        <f t="shared" si="9"/>
        <v>2868540.16</v>
      </c>
      <c r="R14" s="8"/>
      <c r="S14" s="29">
        <f t="shared" si="2"/>
        <v>0</v>
      </c>
      <c r="T14" s="29"/>
    </row>
    <row r="15" spans="1:22" x14ac:dyDescent="0.25">
      <c r="A15" s="8"/>
      <c r="B15" s="8"/>
      <c r="C15" s="8"/>
      <c r="D15" s="8"/>
      <c r="E15" s="8"/>
      <c r="F15" s="24">
        <f t="shared" si="1"/>
        <v>366</v>
      </c>
      <c r="G15" s="25">
        <v>11</v>
      </c>
      <c r="H15" s="26">
        <f t="shared" si="3"/>
        <v>45277</v>
      </c>
      <c r="I15" s="26">
        <f t="shared" si="4"/>
        <v>45308</v>
      </c>
      <c r="J15" s="25">
        <f t="shared" si="0"/>
        <v>1</v>
      </c>
      <c r="K15" s="4"/>
      <c r="L15" s="5"/>
      <c r="M15" s="27">
        <f t="shared" si="5"/>
        <v>2868540.16</v>
      </c>
      <c r="N15" s="27">
        <f t="shared" si="6"/>
        <v>24860.94</v>
      </c>
      <c r="O15" s="27">
        <f t="shared" si="7"/>
        <v>1050.489999999998</v>
      </c>
      <c r="P15" s="27">
        <f t="shared" si="8"/>
        <v>23810.45</v>
      </c>
      <c r="Q15" s="28">
        <f t="shared" si="9"/>
        <v>2867489.67</v>
      </c>
      <c r="R15" s="8"/>
      <c r="S15" s="29">
        <f t="shared" si="2"/>
        <v>0</v>
      </c>
      <c r="T15" s="29"/>
    </row>
    <row r="16" spans="1:22" x14ac:dyDescent="0.25">
      <c r="A16" s="8"/>
      <c r="B16" s="23" t="s">
        <v>20</v>
      </c>
      <c r="D16" s="8"/>
      <c r="E16" s="8"/>
      <c r="F16" s="24">
        <f t="shared" si="1"/>
        <v>366</v>
      </c>
      <c r="G16" s="25">
        <v>12</v>
      </c>
      <c r="H16" s="26">
        <f t="shared" si="3"/>
        <v>45308</v>
      </c>
      <c r="I16" s="26">
        <f t="shared" si="4"/>
        <v>45339</v>
      </c>
      <c r="J16" s="25">
        <f t="shared" si="0"/>
        <v>1</v>
      </c>
      <c r="K16" s="4"/>
      <c r="L16" s="5"/>
      <c r="M16" s="27">
        <f t="shared" si="5"/>
        <v>2867489.67</v>
      </c>
      <c r="N16" s="27">
        <f t="shared" si="6"/>
        <v>24860.94</v>
      </c>
      <c r="O16" s="27">
        <f t="shared" si="7"/>
        <v>1059.2099999999991</v>
      </c>
      <c r="P16" s="27">
        <f t="shared" si="8"/>
        <v>23801.73</v>
      </c>
      <c r="Q16" s="28">
        <f t="shared" si="9"/>
        <v>2866430.46</v>
      </c>
      <c r="R16" s="8"/>
      <c r="S16" s="29">
        <f t="shared" si="2"/>
        <v>0</v>
      </c>
      <c r="T16" s="29"/>
    </row>
    <row r="17" spans="1:20" x14ac:dyDescent="0.25">
      <c r="A17" s="8"/>
      <c r="B17" s="33" t="s">
        <v>27</v>
      </c>
      <c r="C17" s="31">
        <f>COUNTIF($N$6:$N$364,"&gt;0")/12</f>
        <v>29.916666666666668</v>
      </c>
      <c r="D17" s="8"/>
      <c r="E17" s="8"/>
      <c r="F17" s="24">
        <f t="shared" si="1"/>
        <v>366</v>
      </c>
      <c r="G17" s="25">
        <v>13</v>
      </c>
      <c r="H17" s="26">
        <f t="shared" si="3"/>
        <v>45339</v>
      </c>
      <c r="I17" s="26">
        <f t="shared" si="4"/>
        <v>45368</v>
      </c>
      <c r="J17" s="25">
        <f t="shared" si="0"/>
        <v>2</v>
      </c>
      <c r="K17" s="4"/>
      <c r="L17" s="5"/>
      <c r="M17" s="27">
        <f t="shared" si="5"/>
        <v>2866430.46</v>
      </c>
      <c r="N17" s="27">
        <f t="shared" si="6"/>
        <v>24860.94</v>
      </c>
      <c r="O17" s="27">
        <f t="shared" si="7"/>
        <v>2603.0299999999988</v>
      </c>
      <c r="P17" s="27">
        <f t="shared" si="8"/>
        <v>22257.91</v>
      </c>
      <c r="Q17" s="28">
        <f t="shared" si="9"/>
        <v>2863827.43</v>
      </c>
      <c r="R17" s="8"/>
      <c r="S17" s="29">
        <f t="shared" si="2"/>
        <v>0</v>
      </c>
      <c r="T17" s="29"/>
    </row>
    <row r="18" spans="1:20" x14ac:dyDescent="0.25">
      <c r="A18" s="8"/>
      <c r="B18" s="33" t="s">
        <v>28</v>
      </c>
      <c r="C18" s="34">
        <f>COUNTIF($N$5:$N$364,"&gt;0")</f>
        <v>360</v>
      </c>
      <c r="D18" s="8"/>
      <c r="E18" s="8"/>
      <c r="F18" s="24">
        <f t="shared" si="1"/>
        <v>366</v>
      </c>
      <c r="G18" s="25">
        <v>14</v>
      </c>
      <c r="H18" s="26">
        <f t="shared" si="3"/>
        <v>45368</v>
      </c>
      <c r="I18" s="26">
        <f t="shared" si="4"/>
        <v>45399</v>
      </c>
      <c r="J18" s="25">
        <f t="shared" si="0"/>
        <v>2</v>
      </c>
      <c r="K18" s="4"/>
      <c r="L18" s="5"/>
      <c r="M18" s="27">
        <f t="shared" si="5"/>
        <v>2863827.43</v>
      </c>
      <c r="N18" s="27">
        <f t="shared" si="6"/>
        <v>24860.94</v>
      </c>
      <c r="O18" s="27">
        <f t="shared" si="7"/>
        <v>1089.6099999999969</v>
      </c>
      <c r="P18" s="27">
        <f t="shared" si="8"/>
        <v>23771.33</v>
      </c>
      <c r="Q18" s="28">
        <f t="shared" si="9"/>
        <v>2862737.8200000003</v>
      </c>
      <c r="R18" s="8"/>
      <c r="S18" s="29">
        <f t="shared" si="2"/>
        <v>0</v>
      </c>
      <c r="T18" s="29"/>
    </row>
    <row r="19" spans="1:20" x14ac:dyDescent="0.25">
      <c r="A19" s="8"/>
      <c r="B19" s="23" t="s">
        <v>23</v>
      </c>
      <c r="C19" s="31">
        <f>SUM(P5:P364)</f>
        <v>6364663.9799999958</v>
      </c>
      <c r="D19" s="8"/>
      <c r="E19" s="8"/>
      <c r="F19" s="24">
        <f t="shared" si="1"/>
        <v>366</v>
      </c>
      <c r="G19" s="25">
        <v>15</v>
      </c>
      <c r="H19" s="26">
        <f t="shared" si="3"/>
        <v>45399</v>
      </c>
      <c r="I19" s="26">
        <f t="shared" si="4"/>
        <v>45429</v>
      </c>
      <c r="J19" s="25">
        <f t="shared" si="0"/>
        <v>2</v>
      </c>
      <c r="K19" s="4"/>
      <c r="L19" s="5"/>
      <c r="M19" s="27">
        <f t="shared" si="5"/>
        <v>2862737.8200000003</v>
      </c>
      <c r="N19" s="27">
        <f t="shared" si="6"/>
        <v>24860.94</v>
      </c>
      <c r="O19" s="27">
        <f t="shared" si="7"/>
        <v>1865.1800000000003</v>
      </c>
      <c r="P19" s="27">
        <f t="shared" si="8"/>
        <v>22995.759999999998</v>
      </c>
      <c r="Q19" s="28">
        <f t="shared" si="9"/>
        <v>2860872.64</v>
      </c>
      <c r="R19" s="8"/>
      <c r="S19" s="29">
        <f t="shared" si="2"/>
        <v>0</v>
      </c>
      <c r="T19" s="29"/>
    </row>
    <row r="20" spans="1:20" x14ac:dyDescent="0.25">
      <c r="A20" s="8"/>
      <c r="B20" s="23" t="s">
        <v>22</v>
      </c>
      <c r="C20" s="35">
        <f>VLOOKUP(C18,G4:$I$364,3,0)</f>
        <v>55932</v>
      </c>
      <c r="D20" s="8"/>
      <c r="E20" s="8"/>
      <c r="F20" s="24">
        <f t="shared" si="1"/>
        <v>366</v>
      </c>
      <c r="G20" s="25">
        <v>16</v>
      </c>
      <c r="H20" s="26">
        <f t="shared" si="3"/>
        <v>45429</v>
      </c>
      <c r="I20" s="26">
        <f t="shared" si="4"/>
        <v>45460</v>
      </c>
      <c r="J20" s="25">
        <f t="shared" si="0"/>
        <v>2</v>
      </c>
      <c r="K20" s="4"/>
      <c r="L20" s="5"/>
      <c r="M20" s="27">
        <f t="shared" si="5"/>
        <v>2860872.64</v>
      </c>
      <c r="N20" s="27">
        <f t="shared" si="6"/>
        <v>24860.94</v>
      </c>
      <c r="O20" s="27">
        <f t="shared" si="7"/>
        <v>1114.1299999999974</v>
      </c>
      <c r="P20" s="27">
        <f t="shared" si="8"/>
        <v>23746.81</v>
      </c>
      <c r="Q20" s="28">
        <f t="shared" si="9"/>
        <v>2859758.5100000002</v>
      </c>
      <c r="R20" s="8"/>
      <c r="S20" s="29">
        <f t="shared" si="2"/>
        <v>0</v>
      </c>
      <c r="T20" s="29"/>
    </row>
    <row r="21" spans="1:20" x14ac:dyDescent="0.25">
      <c r="A21" s="8"/>
      <c r="B21" s="23" t="s">
        <v>25</v>
      </c>
      <c r="C21" s="31">
        <f>VLOOKUP(C18-1,$G$4:$N$364,8,0)</f>
        <v>24860.94</v>
      </c>
      <c r="D21" s="8"/>
      <c r="E21" s="8"/>
      <c r="F21" s="24">
        <f t="shared" si="1"/>
        <v>366</v>
      </c>
      <c r="G21" s="25">
        <v>17</v>
      </c>
      <c r="H21" s="26">
        <f t="shared" si="3"/>
        <v>45460</v>
      </c>
      <c r="I21" s="26">
        <f t="shared" si="4"/>
        <v>45490</v>
      </c>
      <c r="J21" s="25">
        <f t="shared" si="0"/>
        <v>2</v>
      </c>
      <c r="K21" s="4"/>
      <c r="L21" s="5"/>
      <c r="M21" s="27">
        <f t="shared" si="5"/>
        <v>2859758.5100000002</v>
      </c>
      <c r="N21" s="27">
        <f t="shared" si="6"/>
        <v>24860.94</v>
      </c>
      <c r="O21" s="27">
        <f t="shared" si="7"/>
        <v>1889.1099999999969</v>
      </c>
      <c r="P21" s="27">
        <f t="shared" si="8"/>
        <v>22971.83</v>
      </c>
      <c r="Q21" s="28">
        <f t="shared" si="9"/>
        <v>2857869.4000000004</v>
      </c>
      <c r="R21" s="8"/>
      <c r="S21" s="29">
        <f t="shared" si="2"/>
        <v>0</v>
      </c>
      <c r="T21" s="29"/>
    </row>
    <row r="22" spans="1:20" x14ac:dyDescent="0.25">
      <c r="A22" s="8"/>
      <c r="B22" s="42" t="s">
        <v>26</v>
      </c>
      <c r="C22" s="42"/>
      <c r="D22" s="8"/>
      <c r="E22" s="8"/>
      <c r="F22" s="24">
        <f t="shared" si="1"/>
        <v>366</v>
      </c>
      <c r="G22" s="25">
        <v>18</v>
      </c>
      <c r="H22" s="26">
        <f t="shared" si="3"/>
        <v>45490</v>
      </c>
      <c r="I22" s="26">
        <f t="shared" si="4"/>
        <v>45521</v>
      </c>
      <c r="J22" s="25">
        <f t="shared" si="0"/>
        <v>2</v>
      </c>
      <c r="K22" s="4"/>
      <c r="L22" s="5"/>
      <c r="M22" s="27">
        <f t="shared" si="5"/>
        <v>2857869.4000000004</v>
      </c>
      <c r="N22" s="27">
        <f t="shared" si="6"/>
        <v>24860.94</v>
      </c>
      <c r="O22" s="27">
        <f t="shared" si="7"/>
        <v>1139.0599999999977</v>
      </c>
      <c r="P22" s="27">
        <f t="shared" si="8"/>
        <v>23721.88</v>
      </c>
      <c r="Q22" s="28">
        <f t="shared" si="9"/>
        <v>2856730.3400000003</v>
      </c>
      <c r="R22" s="8"/>
      <c r="S22" s="29">
        <f t="shared" si="2"/>
        <v>0</v>
      </c>
      <c r="T22" s="29"/>
    </row>
    <row r="23" spans="1:20" x14ac:dyDescent="0.25">
      <c r="A23" s="8"/>
      <c r="B23" s="43"/>
      <c r="C23" s="43"/>
      <c r="D23" s="8"/>
      <c r="E23" s="8"/>
      <c r="F23" s="24">
        <f t="shared" si="1"/>
        <v>366</v>
      </c>
      <c r="G23" s="25">
        <v>19</v>
      </c>
      <c r="H23" s="26">
        <f t="shared" si="3"/>
        <v>45521</v>
      </c>
      <c r="I23" s="26">
        <f t="shared" si="4"/>
        <v>45552</v>
      </c>
      <c r="J23" s="25">
        <f t="shared" si="0"/>
        <v>2</v>
      </c>
      <c r="K23" s="4"/>
      <c r="L23" s="5"/>
      <c r="M23" s="27">
        <f t="shared" si="5"/>
        <v>2856730.3400000003</v>
      </c>
      <c r="N23" s="27">
        <f t="shared" si="6"/>
        <v>24860.94</v>
      </c>
      <c r="O23" s="27">
        <f t="shared" si="7"/>
        <v>1148.5200000000004</v>
      </c>
      <c r="P23" s="27">
        <f t="shared" si="8"/>
        <v>23712.42</v>
      </c>
      <c r="Q23" s="28">
        <f t="shared" si="9"/>
        <v>2855581.8200000003</v>
      </c>
      <c r="R23" s="8"/>
      <c r="S23" s="29">
        <f t="shared" si="2"/>
        <v>0</v>
      </c>
      <c r="T23" s="29"/>
    </row>
    <row r="24" spans="1:20" x14ac:dyDescent="0.25">
      <c r="A24" s="8"/>
      <c r="B24" s="43"/>
      <c r="C24" s="43"/>
      <c r="D24" s="8"/>
      <c r="E24" s="8"/>
      <c r="F24" s="24">
        <f t="shared" si="1"/>
        <v>366</v>
      </c>
      <c r="G24" s="25">
        <v>20</v>
      </c>
      <c r="H24" s="26">
        <f t="shared" si="3"/>
        <v>45552</v>
      </c>
      <c r="I24" s="26">
        <f t="shared" si="4"/>
        <v>45582</v>
      </c>
      <c r="J24" s="25">
        <f t="shared" si="0"/>
        <v>2</v>
      </c>
      <c r="K24" s="4"/>
      <c r="L24" s="5"/>
      <c r="M24" s="27">
        <f t="shared" si="5"/>
        <v>2855581.8200000003</v>
      </c>
      <c r="N24" s="27">
        <f t="shared" si="6"/>
        <v>24860.94</v>
      </c>
      <c r="O24" s="27">
        <f t="shared" si="7"/>
        <v>1922.6599999999999</v>
      </c>
      <c r="P24" s="27">
        <f t="shared" si="8"/>
        <v>22938.28</v>
      </c>
      <c r="Q24" s="28">
        <f t="shared" si="9"/>
        <v>2853659.16</v>
      </c>
      <c r="R24" s="8"/>
      <c r="S24" s="29">
        <f t="shared" si="2"/>
        <v>0</v>
      </c>
      <c r="T24" s="29"/>
    </row>
    <row r="25" spans="1:20" x14ac:dyDescent="0.25">
      <c r="A25" s="8"/>
      <c r="B25" s="36"/>
      <c r="C25" s="8"/>
      <c r="D25" s="8"/>
      <c r="E25" s="8"/>
      <c r="F25" s="24">
        <f t="shared" si="1"/>
        <v>366</v>
      </c>
      <c r="G25" s="25">
        <v>21</v>
      </c>
      <c r="H25" s="26">
        <f t="shared" si="3"/>
        <v>45582</v>
      </c>
      <c r="I25" s="26">
        <f t="shared" si="4"/>
        <v>45613</v>
      </c>
      <c r="J25" s="25">
        <f t="shared" si="0"/>
        <v>2</v>
      </c>
      <c r="K25" s="4"/>
      <c r="L25" s="5"/>
      <c r="M25" s="27">
        <f t="shared" si="5"/>
        <v>2853659.16</v>
      </c>
      <c r="N25" s="27">
        <f t="shared" si="6"/>
        <v>24860.94</v>
      </c>
      <c r="O25" s="27">
        <f t="shared" si="7"/>
        <v>1174.0099999999984</v>
      </c>
      <c r="P25" s="27">
        <f t="shared" si="8"/>
        <v>23686.93</v>
      </c>
      <c r="Q25" s="28">
        <f t="shared" si="9"/>
        <v>2852485.1500000004</v>
      </c>
      <c r="R25" s="8"/>
      <c r="S25" s="29">
        <f t="shared" si="2"/>
        <v>0</v>
      </c>
      <c r="T25" s="29"/>
    </row>
    <row r="26" spans="1:20" x14ac:dyDescent="0.25">
      <c r="A26" s="8"/>
      <c r="B26" s="36"/>
      <c r="C26" s="8"/>
      <c r="D26" s="8"/>
      <c r="E26" s="8"/>
      <c r="F26" s="24">
        <f t="shared" si="1"/>
        <v>366</v>
      </c>
      <c r="G26" s="25">
        <v>22</v>
      </c>
      <c r="H26" s="26">
        <f t="shared" si="3"/>
        <v>45613</v>
      </c>
      <c r="I26" s="26">
        <f t="shared" si="4"/>
        <v>45643</v>
      </c>
      <c r="J26" s="25">
        <f t="shared" si="0"/>
        <v>2</v>
      </c>
      <c r="K26" s="4"/>
      <c r="L26" s="5"/>
      <c r="M26" s="27">
        <f t="shared" si="5"/>
        <v>2852485.1500000004</v>
      </c>
      <c r="N26" s="27">
        <f t="shared" si="6"/>
        <v>24860.94</v>
      </c>
      <c r="O26" s="27">
        <f t="shared" si="7"/>
        <v>1947.5299999999988</v>
      </c>
      <c r="P26" s="27">
        <f t="shared" si="8"/>
        <v>22913.41</v>
      </c>
      <c r="Q26" s="28">
        <f t="shared" si="9"/>
        <v>2850537.6200000006</v>
      </c>
      <c r="R26" s="8"/>
      <c r="S26" s="29">
        <f t="shared" si="2"/>
        <v>0</v>
      </c>
      <c r="T26" s="29"/>
    </row>
    <row r="27" spans="1:20" x14ac:dyDescent="0.25">
      <c r="A27" s="8"/>
      <c r="B27" s="36"/>
      <c r="C27" s="8"/>
      <c r="D27" s="8"/>
      <c r="E27" s="8"/>
      <c r="F27" s="24">
        <f t="shared" si="1"/>
        <v>365</v>
      </c>
      <c r="G27" s="25">
        <v>23</v>
      </c>
      <c r="H27" s="26">
        <f t="shared" si="3"/>
        <v>45643</v>
      </c>
      <c r="I27" s="26">
        <f t="shared" si="4"/>
        <v>45674</v>
      </c>
      <c r="J27" s="25">
        <f t="shared" si="0"/>
        <v>2</v>
      </c>
      <c r="K27" s="4"/>
      <c r="L27" s="5"/>
      <c r="M27" s="27">
        <f t="shared" si="5"/>
        <v>2850537.6200000006</v>
      </c>
      <c r="N27" s="27">
        <f t="shared" si="6"/>
        <v>24860.94</v>
      </c>
      <c r="O27" s="27">
        <f t="shared" si="7"/>
        <v>1135.0999999999985</v>
      </c>
      <c r="P27" s="27">
        <f t="shared" si="8"/>
        <v>23725.84</v>
      </c>
      <c r="Q27" s="28">
        <f t="shared" si="9"/>
        <v>2849402.5200000005</v>
      </c>
      <c r="R27" s="8"/>
      <c r="S27" s="29">
        <f t="shared" si="2"/>
        <v>0</v>
      </c>
      <c r="T27" s="29"/>
    </row>
    <row r="28" spans="1:20" x14ac:dyDescent="0.25">
      <c r="A28" s="8"/>
      <c r="B28" s="36"/>
      <c r="C28" s="8"/>
      <c r="D28" s="8"/>
      <c r="E28" s="8"/>
      <c r="F28" s="24">
        <f t="shared" si="1"/>
        <v>365</v>
      </c>
      <c r="G28" s="25">
        <v>24</v>
      </c>
      <c r="H28" s="26">
        <f t="shared" si="3"/>
        <v>45674</v>
      </c>
      <c r="I28" s="26">
        <f t="shared" si="4"/>
        <v>45705</v>
      </c>
      <c r="J28" s="25">
        <f t="shared" si="0"/>
        <v>2</v>
      </c>
      <c r="K28" s="4"/>
      <c r="L28" s="5"/>
      <c r="M28" s="27">
        <f t="shared" si="5"/>
        <v>2849402.5200000005</v>
      </c>
      <c r="N28" s="27">
        <f t="shared" si="6"/>
        <v>24860.94</v>
      </c>
      <c r="O28" s="27">
        <f t="shared" si="7"/>
        <v>1144.5399999999972</v>
      </c>
      <c r="P28" s="27">
        <f t="shared" si="8"/>
        <v>23716.400000000001</v>
      </c>
      <c r="Q28" s="28">
        <f t="shared" si="9"/>
        <v>2848257.9800000004</v>
      </c>
      <c r="R28" s="8"/>
      <c r="S28" s="29">
        <f t="shared" si="2"/>
        <v>0</v>
      </c>
      <c r="T28" s="29"/>
    </row>
    <row r="29" spans="1:20" x14ac:dyDescent="0.25">
      <c r="A29" s="8"/>
      <c r="B29" s="36"/>
      <c r="C29" s="8"/>
      <c r="D29" s="8"/>
      <c r="E29" s="8"/>
      <c r="F29" s="24">
        <f t="shared" si="1"/>
        <v>365</v>
      </c>
      <c r="G29" s="25">
        <v>25</v>
      </c>
      <c r="H29" s="26">
        <f t="shared" si="3"/>
        <v>45705</v>
      </c>
      <c r="I29" s="26">
        <f t="shared" si="4"/>
        <v>45733</v>
      </c>
      <c r="J29" s="25">
        <f t="shared" si="0"/>
        <v>3</v>
      </c>
      <c r="K29" s="4"/>
      <c r="L29" s="5"/>
      <c r="M29" s="27">
        <f t="shared" si="5"/>
        <v>2848257.9800000004</v>
      </c>
      <c r="N29" s="27">
        <f t="shared" si="6"/>
        <v>24860.94</v>
      </c>
      <c r="O29" s="27">
        <f t="shared" si="7"/>
        <v>3448.2799999999988</v>
      </c>
      <c r="P29" s="27">
        <f t="shared" si="8"/>
        <v>21412.66</v>
      </c>
      <c r="Q29" s="28">
        <f t="shared" si="9"/>
        <v>2844809.7000000007</v>
      </c>
      <c r="R29" s="8"/>
      <c r="S29" s="29">
        <f t="shared" si="2"/>
        <v>0</v>
      </c>
      <c r="T29" s="29"/>
    </row>
    <row r="30" spans="1:20" x14ac:dyDescent="0.25">
      <c r="A30" s="8"/>
      <c r="B30" s="36"/>
      <c r="C30" s="8"/>
      <c r="D30" s="8"/>
      <c r="E30" s="8"/>
      <c r="F30" s="24">
        <f t="shared" si="1"/>
        <v>365</v>
      </c>
      <c r="G30" s="25">
        <v>26</v>
      </c>
      <c r="H30" s="26">
        <f t="shared" si="3"/>
        <v>45733</v>
      </c>
      <c r="I30" s="26">
        <f t="shared" si="4"/>
        <v>45764</v>
      </c>
      <c r="J30" s="25">
        <f t="shared" si="0"/>
        <v>3</v>
      </c>
      <c r="K30" s="4"/>
      <c r="L30" s="5"/>
      <c r="M30" s="27">
        <f t="shared" si="5"/>
        <v>2844809.7000000007</v>
      </c>
      <c r="N30" s="27">
        <f t="shared" si="6"/>
        <v>24860.94</v>
      </c>
      <c r="O30" s="27">
        <f t="shared" si="7"/>
        <v>1182.7700000000004</v>
      </c>
      <c r="P30" s="27">
        <f t="shared" si="8"/>
        <v>23678.17</v>
      </c>
      <c r="Q30" s="28">
        <f t="shared" si="9"/>
        <v>2843626.9300000006</v>
      </c>
      <c r="R30" s="8"/>
      <c r="S30" s="29">
        <f t="shared" si="2"/>
        <v>0</v>
      </c>
      <c r="T30" s="29"/>
    </row>
    <row r="31" spans="1:20" x14ac:dyDescent="0.25">
      <c r="A31" s="8"/>
      <c r="B31" s="36"/>
      <c r="C31" s="8"/>
      <c r="D31" s="8"/>
      <c r="E31" s="8"/>
      <c r="F31" s="24">
        <f t="shared" si="1"/>
        <v>365</v>
      </c>
      <c r="G31" s="25">
        <v>27</v>
      </c>
      <c r="H31" s="26">
        <f t="shared" si="3"/>
        <v>45764</v>
      </c>
      <c r="I31" s="26">
        <f t="shared" si="4"/>
        <v>45794</v>
      </c>
      <c r="J31" s="25">
        <f t="shared" si="0"/>
        <v>3</v>
      </c>
      <c r="K31" s="4"/>
      <c r="L31" s="5"/>
      <c r="M31" s="27">
        <f t="shared" si="5"/>
        <v>2843626.9300000006</v>
      </c>
      <c r="N31" s="27">
        <f t="shared" si="6"/>
        <v>24860.94</v>
      </c>
      <c r="O31" s="27">
        <f t="shared" si="7"/>
        <v>1956.1099999999969</v>
      </c>
      <c r="P31" s="27">
        <f t="shared" si="8"/>
        <v>22904.83</v>
      </c>
      <c r="Q31" s="28">
        <f t="shared" si="9"/>
        <v>2841670.8200000008</v>
      </c>
      <c r="R31" s="8"/>
      <c r="S31" s="29">
        <f t="shared" si="2"/>
        <v>0</v>
      </c>
      <c r="T31" s="29"/>
    </row>
    <row r="32" spans="1:20" x14ac:dyDescent="0.25">
      <c r="A32" s="8"/>
      <c r="B32" s="36"/>
      <c r="C32" s="8"/>
      <c r="D32" s="8"/>
      <c r="E32" s="8"/>
      <c r="F32" s="24">
        <f t="shared" si="1"/>
        <v>365</v>
      </c>
      <c r="G32" s="25">
        <v>28</v>
      </c>
      <c r="H32" s="26">
        <f t="shared" si="3"/>
        <v>45794</v>
      </c>
      <c r="I32" s="26">
        <f t="shared" si="4"/>
        <v>45825</v>
      </c>
      <c r="J32" s="25">
        <f t="shared" si="0"/>
        <v>3</v>
      </c>
      <c r="K32" s="4"/>
      <c r="L32" s="5"/>
      <c r="M32" s="27">
        <f t="shared" si="5"/>
        <v>2841670.8200000008</v>
      </c>
      <c r="N32" s="27">
        <f t="shared" si="6"/>
        <v>24860.94</v>
      </c>
      <c r="O32" s="27">
        <f t="shared" si="7"/>
        <v>1208.8999999999978</v>
      </c>
      <c r="P32" s="27">
        <f t="shared" si="8"/>
        <v>23652.04</v>
      </c>
      <c r="Q32" s="28">
        <f t="shared" si="9"/>
        <v>2840461.9200000009</v>
      </c>
      <c r="R32" s="8"/>
      <c r="S32" s="29">
        <f t="shared" si="2"/>
        <v>0</v>
      </c>
      <c r="T32" s="29"/>
    </row>
    <row r="33" spans="1:20" x14ac:dyDescent="0.25">
      <c r="A33" s="8"/>
      <c r="B33" s="36"/>
      <c r="C33" s="8"/>
      <c r="D33" s="8"/>
      <c r="E33" s="8"/>
      <c r="F33" s="24">
        <f t="shared" si="1"/>
        <v>365</v>
      </c>
      <c r="G33" s="25">
        <v>29</v>
      </c>
      <c r="H33" s="26">
        <f t="shared" si="3"/>
        <v>45825</v>
      </c>
      <c r="I33" s="26">
        <f t="shared" si="4"/>
        <v>45855</v>
      </c>
      <c r="J33" s="25">
        <f t="shared" si="0"/>
        <v>3</v>
      </c>
      <c r="K33" s="4"/>
      <c r="L33" s="5"/>
      <c r="M33" s="27">
        <f t="shared" si="5"/>
        <v>2840461.9200000009</v>
      </c>
      <c r="N33" s="27">
        <f t="shared" si="6"/>
        <v>24860.94</v>
      </c>
      <c r="O33" s="27">
        <f t="shared" si="7"/>
        <v>1981.5999999999985</v>
      </c>
      <c r="P33" s="27">
        <f t="shared" si="8"/>
        <v>22879.34</v>
      </c>
      <c r="Q33" s="28">
        <f t="shared" si="9"/>
        <v>2838480.3200000008</v>
      </c>
      <c r="R33" s="8"/>
      <c r="S33" s="29">
        <f t="shared" si="2"/>
        <v>0</v>
      </c>
      <c r="T33" s="29"/>
    </row>
    <row r="34" spans="1:20" x14ac:dyDescent="0.25">
      <c r="A34" s="8"/>
      <c r="B34" s="36"/>
      <c r="C34" s="8"/>
      <c r="D34" s="8"/>
      <c r="E34" s="8"/>
      <c r="F34" s="24">
        <f t="shared" si="1"/>
        <v>365</v>
      </c>
      <c r="G34" s="25">
        <v>30</v>
      </c>
      <c r="H34" s="26">
        <f t="shared" si="3"/>
        <v>45855</v>
      </c>
      <c r="I34" s="26">
        <f t="shared" si="4"/>
        <v>45886</v>
      </c>
      <c r="J34" s="25">
        <f t="shared" si="0"/>
        <v>3</v>
      </c>
      <c r="K34" s="4"/>
      <c r="L34" s="5"/>
      <c r="M34" s="27">
        <f t="shared" si="5"/>
        <v>2838480.3200000008</v>
      </c>
      <c r="N34" s="27">
        <f t="shared" si="6"/>
        <v>24860.94</v>
      </c>
      <c r="O34" s="27">
        <f t="shared" si="7"/>
        <v>1235.4499999999971</v>
      </c>
      <c r="P34" s="27">
        <f t="shared" si="8"/>
        <v>23625.49</v>
      </c>
      <c r="Q34" s="28">
        <f t="shared" si="9"/>
        <v>2837244.8700000006</v>
      </c>
      <c r="R34" s="8"/>
      <c r="S34" s="29">
        <f t="shared" si="2"/>
        <v>0</v>
      </c>
      <c r="T34" s="29"/>
    </row>
    <row r="35" spans="1:20" x14ac:dyDescent="0.25">
      <c r="A35" s="8"/>
      <c r="B35" s="36"/>
      <c r="C35" s="8"/>
      <c r="D35" s="8"/>
      <c r="E35" s="8"/>
      <c r="F35" s="24">
        <f t="shared" si="1"/>
        <v>365</v>
      </c>
      <c r="G35" s="25">
        <v>31</v>
      </c>
      <c r="H35" s="26">
        <f t="shared" si="3"/>
        <v>45886</v>
      </c>
      <c r="I35" s="26">
        <f t="shared" si="4"/>
        <v>45917</v>
      </c>
      <c r="J35" s="25">
        <f t="shared" si="0"/>
        <v>3</v>
      </c>
      <c r="K35" s="4"/>
      <c r="L35" s="5"/>
      <c r="M35" s="27">
        <f t="shared" si="5"/>
        <v>2837244.8700000006</v>
      </c>
      <c r="N35" s="27">
        <f t="shared" si="6"/>
        <v>24860.94</v>
      </c>
      <c r="O35" s="27">
        <f t="shared" si="7"/>
        <v>1245.7299999999996</v>
      </c>
      <c r="P35" s="27">
        <f t="shared" si="8"/>
        <v>23615.21</v>
      </c>
      <c r="Q35" s="28">
        <f t="shared" si="9"/>
        <v>2835999.1400000006</v>
      </c>
      <c r="R35" s="8"/>
      <c r="S35" s="29">
        <f t="shared" si="2"/>
        <v>0</v>
      </c>
      <c r="T35" s="29"/>
    </row>
    <row r="36" spans="1:20" x14ac:dyDescent="0.25">
      <c r="A36" s="8"/>
      <c r="B36" s="36"/>
      <c r="C36" s="8"/>
      <c r="D36" s="8"/>
      <c r="E36" s="8"/>
      <c r="F36" s="24">
        <f t="shared" si="1"/>
        <v>365</v>
      </c>
      <c r="G36" s="25">
        <v>32</v>
      </c>
      <c r="H36" s="26">
        <f t="shared" si="3"/>
        <v>45917</v>
      </c>
      <c r="I36" s="26">
        <f t="shared" si="4"/>
        <v>45947</v>
      </c>
      <c r="J36" s="25">
        <f t="shared" si="0"/>
        <v>3</v>
      </c>
      <c r="K36" s="4"/>
      <c r="L36" s="5"/>
      <c r="M36" s="27">
        <f t="shared" si="5"/>
        <v>2835999.1400000006</v>
      </c>
      <c r="N36" s="27">
        <f t="shared" si="6"/>
        <v>24860.94</v>
      </c>
      <c r="O36" s="27">
        <f t="shared" si="7"/>
        <v>2017.5499999999993</v>
      </c>
      <c r="P36" s="27">
        <f t="shared" si="8"/>
        <v>22843.39</v>
      </c>
      <c r="Q36" s="28">
        <f t="shared" si="9"/>
        <v>2833981.5900000008</v>
      </c>
      <c r="R36" s="8"/>
      <c r="S36" s="29">
        <f t="shared" si="2"/>
        <v>0</v>
      </c>
      <c r="T36" s="29"/>
    </row>
    <row r="37" spans="1:20" x14ac:dyDescent="0.25">
      <c r="A37" s="8"/>
      <c r="B37" s="36"/>
      <c r="C37" s="8"/>
      <c r="D37" s="8"/>
      <c r="E37" s="8"/>
      <c r="F37" s="24">
        <f t="shared" si="1"/>
        <v>365</v>
      </c>
      <c r="G37" s="25">
        <v>33</v>
      </c>
      <c r="H37" s="26">
        <f t="shared" si="3"/>
        <v>45947</v>
      </c>
      <c r="I37" s="26">
        <f t="shared" si="4"/>
        <v>45978</v>
      </c>
      <c r="J37" s="25">
        <f t="shared" si="0"/>
        <v>3</v>
      </c>
      <c r="K37" s="4"/>
      <c r="L37" s="5"/>
      <c r="M37" s="27">
        <f t="shared" si="5"/>
        <v>2833981.5900000008</v>
      </c>
      <c r="N37" s="27">
        <f t="shared" si="6"/>
        <v>24860.94</v>
      </c>
      <c r="O37" s="27">
        <f t="shared" si="7"/>
        <v>1272.8999999999978</v>
      </c>
      <c r="P37" s="27">
        <f t="shared" si="8"/>
        <v>23588.04</v>
      </c>
      <c r="Q37" s="28">
        <f t="shared" si="9"/>
        <v>2832708.6900000009</v>
      </c>
      <c r="R37" s="8"/>
      <c r="S37" s="29">
        <f t="shared" si="2"/>
        <v>0</v>
      </c>
      <c r="T37" s="29"/>
    </row>
    <row r="38" spans="1:20" x14ac:dyDescent="0.25">
      <c r="A38" s="8"/>
      <c r="B38" s="36"/>
      <c r="C38" s="8"/>
      <c r="D38" s="8"/>
      <c r="E38" s="8"/>
      <c r="F38" s="24">
        <f t="shared" si="1"/>
        <v>365</v>
      </c>
      <c r="G38" s="25">
        <v>34</v>
      </c>
      <c r="H38" s="26">
        <f t="shared" si="3"/>
        <v>45978</v>
      </c>
      <c r="I38" s="26">
        <f t="shared" si="4"/>
        <v>46008</v>
      </c>
      <c r="J38" s="25">
        <f t="shared" si="0"/>
        <v>3</v>
      </c>
      <c r="K38" s="4"/>
      <c r="L38" s="5"/>
      <c r="M38" s="27">
        <f t="shared" si="5"/>
        <v>2832708.6900000009</v>
      </c>
      <c r="N38" s="27">
        <f t="shared" si="6"/>
        <v>24860.94</v>
      </c>
      <c r="O38" s="27">
        <f t="shared" si="7"/>
        <v>2044.0499999999993</v>
      </c>
      <c r="P38" s="27">
        <f t="shared" si="8"/>
        <v>22816.89</v>
      </c>
      <c r="Q38" s="28">
        <f t="shared" si="9"/>
        <v>2830664.6400000011</v>
      </c>
      <c r="R38" s="8"/>
      <c r="S38" s="29">
        <f t="shared" si="2"/>
        <v>0</v>
      </c>
      <c r="T38" s="29"/>
    </row>
    <row r="39" spans="1:20" x14ac:dyDescent="0.25">
      <c r="A39" s="8"/>
      <c r="B39" s="36"/>
      <c r="C39" s="8"/>
      <c r="D39" s="8"/>
      <c r="E39" s="8"/>
      <c r="F39" s="24">
        <f t="shared" si="1"/>
        <v>365</v>
      </c>
      <c r="G39" s="25">
        <v>35</v>
      </c>
      <c r="H39" s="26">
        <f t="shared" si="3"/>
        <v>46008</v>
      </c>
      <c r="I39" s="26">
        <f t="shared" si="4"/>
        <v>46039</v>
      </c>
      <c r="J39" s="25">
        <f t="shared" si="0"/>
        <v>3</v>
      </c>
      <c r="K39" s="4"/>
      <c r="L39" s="5"/>
      <c r="M39" s="27">
        <f t="shared" si="5"/>
        <v>2830664.6400000011</v>
      </c>
      <c r="N39" s="27">
        <f t="shared" si="6"/>
        <v>24860.94</v>
      </c>
      <c r="O39" s="27">
        <f t="shared" si="7"/>
        <v>1300.5</v>
      </c>
      <c r="P39" s="27">
        <f t="shared" si="8"/>
        <v>23560.44</v>
      </c>
      <c r="Q39" s="28">
        <f t="shared" si="9"/>
        <v>2829364.1400000011</v>
      </c>
      <c r="R39" s="8"/>
      <c r="S39" s="29">
        <f t="shared" si="2"/>
        <v>0</v>
      </c>
      <c r="T39" s="29"/>
    </row>
    <row r="40" spans="1:20" x14ac:dyDescent="0.25">
      <c r="A40" s="8"/>
      <c r="B40" s="36"/>
      <c r="C40" s="8"/>
      <c r="D40" s="8"/>
      <c r="E40" s="8"/>
      <c r="F40" s="24">
        <f t="shared" si="1"/>
        <v>365</v>
      </c>
      <c r="G40" s="25">
        <v>36</v>
      </c>
      <c r="H40" s="26">
        <f t="shared" si="3"/>
        <v>46039</v>
      </c>
      <c r="I40" s="26">
        <f t="shared" si="4"/>
        <v>46070</v>
      </c>
      <c r="J40" s="25">
        <f t="shared" si="0"/>
        <v>3</v>
      </c>
      <c r="K40" s="4"/>
      <c r="L40" s="5"/>
      <c r="M40" s="27">
        <f t="shared" si="5"/>
        <v>2829364.1400000011</v>
      </c>
      <c r="N40" s="27">
        <f t="shared" si="6"/>
        <v>24860.94</v>
      </c>
      <c r="O40" s="27">
        <f t="shared" si="7"/>
        <v>1311.3299999999981</v>
      </c>
      <c r="P40" s="27">
        <f t="shared" si="8"/>
        <v>23549.61</v>
      </c>
      <c r="Q40" s="28">
        <f t="shared" si="9"/>
        <v>2828052.810000001</v>
      </c>
      <c r="R40" s="8"/>
      <c r="S40" s="29">
        <f t="shared" si="2"/>
        <v>0</v>
      </c>
      <c r="T40" s="29"/>
    </row>
    <row r="41" spans="1:20" x14ac:dyDescent="0.25">
      <c r="A41" s="8"/>
      <c r="B41" s="36"/>
      <c r="C41" s="8"/>
      <c r="D41" s="8"/>
      <c r="E41" s="8"/>
      <c r="F41" s="24">
        <f t="shared" si="1"/>
        <v>365</v>
      </c>
      <c r="G41" s="25">
        <v>37</v>
      </c>
      <c r="H41" s="26">
        <f t="shared" si="3"/>
        <v>46070</v>
      </c>
      <c r="I41" s="26">
        <f t="shared" si="4"/>
        <v>46098</v>
      </c>
      <c r="J41" s="25">
        <f t="shared" si="0"/>
        <v>4</v>
      </c>
      <c r="K41" s="4"/>
      <c r="L41" s="5"/>
      <c r="M41" s="27">
        <f t="shared" si="5"/>
        <v>2828052.810000001</v>
      </c>
      <c r="N41" s="27">
        <f t="shared" si="6"/>
        <v>24860.94</v>
      </c>
      <c r="O41" s="27">
        <f t="shared" si="7"/>
        <v>3600.1800000000003</v>
      </c>
      <c r="P41" s="27">
        <f t="shared" si="8"/>
        <v>21260.76</v>
      </c>
      <c r="Q41" s="28">
        <f t="shared" si="9"/>
        <v>2824452.6300000008</v>
      </c>
      <c r="R41" s="8"/>
      <c r="S41" s="29">
        <f t="shared" si="2"/>
        <v>0</v>
      </c>
      <c r="T41" s="29"/>
    </row>
    <row r="42" spans="1:20" x14ac:dyDescent="0.25">
      <c r="A42" s="8"/>
      <c r="B42" s="36"/>
      <c r="C42" s="8"/>
      <c r="D42" s="8"/>
      <c r="E42" s="8"/>
      <c r="F42" s="24">
        <f t="shared" si="1"/>
        <v>365</v>
      </c>
      <c r="G42" s="25">
        <v>38</v>
      </c>
      <c r="H42" s="26">
        <f t="shared" si="3"/>
        <v>46098</v>
      </c>
      <c r="I42" s="26">
        <f t="shared" si="4"/>
        <v>46129</v>
      </c>
      <c r="J42" s="25">
        <f t="shared" si="0"/>
        <v>4</v>
      </c>
      <c r="K42" s="4"/>
      <c r="L42" s="5"/>
      <c r="M42" s="27">
        <f t="shared" si="5"/>
        <v>2824452.6300000008</v>
      </c>
      <c r="N42" s="27">
        <f t="shared" si="6"/>
        <v>24860.94</v>
      </c>
      <c r="O42" s="27">
        <f t="shared" si="7"/>
        <v>1352.2099999999991</v>
      </c>
      <c r="P42" s="27">
        <f t="shared" si="8"/>
        <v>23508.73</v>
      </c>
      <c r="Q42" s="28">
        <f t="shared" si="9"/>
        <v>2823100.4200000009</v>
      </c>
      <c r="R42" s="8"/>
      <c r="S42" s="29">
        <f t="shared" si="2"/>
        <v>0</v>
      </c>
      <c r="T42" s="29"/>
    </row>
    <row r="43" spans="1:20" x14ac:dyDescent="0.25">
      <c r="A43" s="8"/>
      <c r="B43" s="36"/>
      <c r="C43" s="8"/>
      <c r="D43" s="8"/>
      <c r="E43" s="8"/>
      <c r="F43" s="24">
        <f t="shared" si="1"/>
        <v>365</v>
      </c>
      <c r="G43" s="25">
        <v>39</v>
      </c>
      <c r="H43" s="26">
        <f t="shared" si="3"/>
        <v>46129</v>
      </c>
      <c r="I43" s="26">
        <f t="shared" si="4"/>
        <v>46159</v>
      </c>
      <c r="J43" s="25">
        <f t="shared" si="0"/>
        <v>4</v>
      </c>
      <c r="K43" s="4"/>
      <c r="L43" s="5"/>
      <c r="M43" s="27">
        <f t="shared" si="5"/>
        <v>2823100.4200000009</v>
      </c>
      <c r="N43" s="27">
        <f t="shared" si="6"/>
        <v>24860.94</v>
      </c>
      <c r="O43" s="27">
        <f t="shared" si="7"/>
        <v>2121.4499999999971</v>
      </c>
      <c r="P43" s="27">
        <f t="shared" si="8"/>
        <v>22739.49</v>
      </c>
      <c r="Q43" s="28">
        <f t="shared" si="9"/>
        <v>2820978.9700000007</v>
      </c>
      <c r="R43" s="8"/>
      <c r="S43" s="29">
        <f t="shared" si="2"/>
        <v>0</v>
      </c>
      <c r="T43" s="29"/>
    </row>
    <row r="44" spans="1:20" x14ac:dyDescent="0.25">
      <c r="A44" s="8"/>
      <c r="B44" s="36"/>
      <c r="C44" s="8"/>
      <c r="D44" s="8"/>
      <c r="E44" s="8"/>
      <c r="F44" s="24">
        <f t="shared" si="1"/>
        <v>365</v>
      </c>
      <c r="G44" s="25">
        <v>40</v>
      </c>
      <c r="H44" s="26">
        <f t="shared" si="3"/>
        <v>46159</v>
      </c>
      <c r="I44" s="26">
        <f t="shared" si="4"/>
        <v>46190</v>
      </c>
      <c r="J44" s="25">
        <f t="shared" si="0"/>
        <v>4</v>
      </c>
      <c r="K44" s="4"/>
      <c r="L44" s="5"/>
      <c r="M44" s="27">
        <f t="shared" si="5"/>
        <v>2820978.9700000007</v>
      </c>
      <c r="N44" s="27">
        <f t="shared" si="6"/>
        <v>24860.94</v>
      </c>
      <c r="O44" s="27">
        <f t="shared" si="7"/>
        <v>1381.119999999999</v>
      </c>
      <c r="P44" s="27">
        <f t="shared" si="8"/>
        <v>23479.82</v>
      </c>
      <c r="Q44" s="28">
        <f t="shared" si="9"/>
        <v>2819597.8500000006</v>
      </c>
      <c r="R44" s="8"/>
      <c r="S44" s="29">
        <f t="shared" si="2"/>
        <v>0</v>
      </c>
      <c r="T44" s="29"/>
    </row>
    <row r="45" spans="1:20" x14ac:dyDescent="0.25">
      <c r="A45" s="8"/>
      <c r="B45" s="36"/>
      <c r="C45" s="8"/>
      <c r="D45" s="8"/>
      <c r="E45" s="8"/>
      <c r="F45" s="24">
        <f t="shared" si="1"/>
        <v>365</v>
      </c>
      <c r="G45" s="25">
        <v>41</v>
      </c>
      <c r="H45" s="26">
        <f t="shared" si="3"/>
        <v>46190</v>
      </c>
      <c r="I45" s="26">
        <f t="shared" si="4"/>
        <v>46220</v>
      </c>
      <c r="J45" s="25">
        <f t="shared" si="0"/>
        <v>4</v>
      </c>
      <c r="K45" s="4"/>
      <c r="L45" s="5"/>
      <c r="M45" s="27">
        <f t="shared" si="5"/>
        <v>2819597.8500000006</v>
      </c>
      <c r="N45" s="27">
        <f t="shared" si="6"/>
        <v>24860.94</v>
      </c>
      <c r="O45" s="27">
        <f t="shared" si="7"/>
        <v>2149.66</v>
      </c>
      <c r="P45" s="27">
        <f t="shared" si="8"/>
        <v>22711.279999999999</v>
      </c>
      <c r="Q45" s="28">
        <f t="shared" si="9"/>
        <v>2817448.1900000004</v>
      </c>
      <c r="R45" s="8"/>
      <c r="S45" s="29">
        <f t="shared" si="2"/>
        <v>0</v>
      </c>
      <c r="T45" s="29"/>
    </row>
    <row r="46" spans="1:20" x14ac:dyDescent="0.25">
      <c r="A46" s="8"/>
      <c r="B46" s="36"/>
      <c r="C46" s="8"/>
      <c r="D46" s="8"/>
      <c r="E46" s="8"/>
      <c r="F46" s="24">
        <f t="shared" si="1"/>
        <v>365</v>
      </c>
      <c r="G46" s="25">
        <v>42</v>
      </c>
      <c r="H46" s="26">
        <f t="shared" si="3"/>
        <v>46220</v>
      </c>
      <c r="I46" s="26">
        <f t="shared" si="4"/>
        <v>46251</v>
      </c>
      <c r="J46" s="25">
        <f t="shared" si="0"/>
        <v>4</v>
      </c>
      <c r="K46" s="4"/>
      <c r="L46" s="5"/>
      <c r="M46" s="27">
        <f t="shared" si="5"/>
        <v>2817448.1900000004</v>
      </c>
      <c r="N46" s="27">
        <f t="shared" si="6"/>
        <v>24860.94</v>
      </c>
      <c r="O46" s="27">
        <f t="shared" si="7"/>
        <v>1410.5099999999984</v>
      </c>
      <c r="P46" s="27">
        <f t="shared" si="8"/>
        <v>23450.43</v>
      </c>
      <c r="Q46" s="28">
        <f t="shared" si="9"/>
        <v>2816037.6800000006</v>
      </c>
      <c r="R46" s="8"/>
      <c r="S46" s="29">
        <f t="shared" si="2"/>
        <v>0</v>
      </c>
      <c r="T46" s="29"/>
    </row>
    <row r="47" spans="1:20" x14ac:dyDescent="0.25">
      <c r="A47" s="8"/>
      <c r="B47" s="36"/>
      <c r="C47" s="8"/>
      <c r="D47" s="8"/>
      <c r="E47" s="8"/>
      <c r="F47" s="24">
        <f t="shared" si="1"/>
        <v>365</v>
      </c>
      <c r="G47" s="25">
        <v>43</v>
      </c>
      <c r="H47" s="26">
        <f t="shared" si="3"/>
        <v>46251</v>
      </c>
      <c r="I47" s="26">
        <f t="shared" si="4"/>
        <v>46282</v>
      </c>
      <c r="J47" s="25">
        <f t="shared" si="0"/>
        <v>4</v>
      </c>
      <c r="K47" s="4"/>
      <c r="L47" s="5"/>
      <c r="M47" s="27">
        <f t="shared" si="5"/>
        <v>2816037.6800000006</v>
      </c>
      <c r="N47" s="27">
        <f t="shared" si="6"/>
        <v>24860.94</v>
      </c>
      <c r="O47" s="27">
        <f t="shared" si="7"/>
        <v>1422.25</v>
      </c>
      <c r="P47" s="27">
        <f t="shared" si="8"/>
        <v>23438.69</v>
      </c>
      <c r="Q47" s="28">
        <f t="shared" si="9"/>
        <v>2814615.4300000006</v>
      </c>
      <c r="R47" s="8"/>
      <c r="S47" s="29">
        <f t="shared" si="2"/>
        <v>0</v>
      </c>
      <c r="T47" s="29"/>
    </row>
    <row r="48" spans="1:20" x14ac:dyDescent="0.25">
      <c r="A48" s="8"/>
      <c r="B48" s="36"/>
      <c r="C48" s="8"/>
      <c r="D48" s="8"/>
      <c r="E48" s="8"/>
      <c r="F48" s="24">
        <f t="shared" si="1"/>
        <v>365</v>
      </c>
      <c r="G48" s="25">
        <v>44</v>
      </c>
      <c r="H48" s="26">
        <f t="shared" si="3"/>
        <v>46282</v>
      </c>
      <c r="I48" s="26">
        <f t="shared" si="4"/>
        <v>46312</v>
      </c>
      <c r="J48" s="25">
        <f t="shared" si="0"/>
        <v>4</v>
      </c>
      <c r="K48" s="4"/>
      <c r="L48" s="5"/>
      <c r="M48" s="27">
        <f t="shared" si="5"/>
        <v>2814615.4300000006</v>
      </c>
      <c r="N48" s="27">
        <f t="shared" si="6"/>
        <v>24860.94</v>
      </c>
      <c r="O48" s="27">
        <f t="shared" si="7"/>
        <v>2189.7899999999972</v>
      </c>
      <c r="P48" s="27">
        <f t="shared" si="8"/>
        <v>22671.15</v>
      </c>
      <c r="Q48" s="28">
        <f t="shared" si="9"/>
        <v>2812425.6400000006</v>
      </c>
      <c r="R48" s="8"/>
      <c r="S48" s="29">
        <f t="shared" si="2"/>
        <v>0</v>
      </c>
      <c r="T48" s="29"/>
    </row>
    <row r="49" spans="1:20" x14ac:dyDescent="0.25">
      <c r="A49" s="8"/>
      <c r="B49" s="36"/>
      <c r="C49" s="8"/>
      <c r="D49" s="8"/>
      <c r="E49" s="8"/>
      <c r="F49" s="24">
        <f t="shared" si="1"/>
        <v>365</v>
      </c>
      <c r="G49" s="25">
        <v>45</v>
      </c>
      <c r="H49" s="26">
        <f t="shared" si="3"/>
        <v>46312</v>
      </c>
      <c r="I49" s="26">
        <f t="shared" si="4"/>
        <v>46343</v>
      </c>
      <c r="J49" s="25">
        <f t="shared" si="0"/>
        <v>4</v>
      </c>
      <c r="K49" s="4"/>
      <c r="L49" s="5"/>
      <c r="M49" s="27">
        <f t="shared" si="5"/>
        <v>2812425.6400000006</v>
      </c>
      <c r="N49" s="27">
        <f t="shared" si="6"/>
        <v>24860.94</v>
      </c>
      <c r="O49" s="27">
        <f t="shared" si="7"/>
        <v>1452.3099999999977</v>
      </c>
      <c r="P49" s="27">
        <f t="shared" si="8"/>
        <v>23408.63</v>
      </c>
      <c r="Q49" s="28">
        <f t="shared" si="9"/>
        <v>2810973.3300000005</v>
      </c>
      <c r="R49" s="8"/>
      <c r="S49" s="29">
        <f t="shared" si="2"/>
        <v>0</v>
      </c>
      <c r="T49" s="29"/>
    </row>
    <row r="50" spans="1:20" x14ac:dyDescent="0.25">
      <c r="A50" s="8"/>
      <c r="B50" s="36"/>
      <c r="C50" s="8"/>
      <c r="D50" s="8"/>
      <c r="E50" s="8"/>
      <c r="F50" s="24">
        <f t="shared" si="1"/>
        <v>365</v>
      </c>
      <c r="G50" s="25">
        <v>46</v>
      </c>
      <c r="H50" s="26">
        <f t="shared" si="3"/>
        <v>46343</v>
      </c>
      <c r="I50" s="26">
        <f t="shared" si="4"/>
        <v>46373</v>
      </c>
      <c r="J50" s="25">
        <f t="shared" si="0"/>
        <v>4</v>
      </c>
      <c r="K50" s="4"/>
      <c r="L50" s="5"/>
      <c r="M50" s="27">
        <f t="shared" si="5"/>
        <v>2810973.3300000005</v>
      </c>
      <c r="N50" s="27">
        <f t="shared" si="6"/>
        <v>24860.94</v>
      </c>
      <c r="O50" s="27">
        <f t="shared" si="7"/>
        <v>2219.1299999999974</v>
      </c>
      <c r="P50" s="27">
        <f t="shared" si="8"/>
        <v>22641.81</v>
      </c>
      <c r="Q50" s="28">
        <f t="shared" si="9"/>
        <v>2808754.2000000007</v>
      </c>
      <c r="R50" s="8"/>
      <c r="S50" s="29">
        <f t="shared" si="2"/>
        <v>0</v>
      </c>
      <c r="T50" s="29"/>
    </row>
    <row r="51" spans="1:20" x14ac:dyDescent="0.25">
      <c r="A51" s="8"/>
      <c r="B51" s="36"/>
      <c r="C51" s="8"/>
      <c r="D51" s="8"/>
      <c r="E51" s="8"/>
      <c r="F51" s="24">
        <f t="shared" si="1"/>
        <v>365</v>
      </c>
      <c r="G51" s="25">
        <v>47</v>
      </c>
      <c r="H51" s="26">
        <f t="shared" si="3"/>
        <v>46373</v>
      </c>
      <c r="I51" s="26">
        <f t="shared" si="4"/>
        <v>46404</v>
      </c>
      <c r="J51" s="25">
        <f t="shared" si="0"/>
        <v>4</v>
      </c>
      <c r="K51" s="4"/>
      <c r="L51" s="5"/>
      <c r="M51" s="27">
        <f t="shared" si="5"/>
        <v>2808754.2000000007</v>
      </c>
      <c r="N51" s="27">
        <f t="shared" si="6"/>
        <v>24860.94</v>
      </c>
      <c r="O51" s="27">
        <f t="shared" si="7"/>
        <v>1482.869999999999</v>
      </c>
      <c r="P51" s="27">
        <f t="shared" si="8"/>
        <v>23378.07</v>
      </c>
      <c r="Q51" s="28">
        <f t="shared" si="9"/>
        <v>2807271.3300000005</v>
      </c>
      <c r="R51" s="8"/>
      <c r="S51" s="29">
        <f t="shared" si="2"/>
        <v>0</v>
      </c>
      <c r="T51" s="29"/>
    </row>
    <row r="52" spans="1:20" x14ac:dyDescent="0.25">
      <c r="A52" s="8"/>
      <c r="B52" s="36"/>
      <c r="C52" s="8"/>
      <c r="D52" s="8"/>
      <c r="E52" s="8"/>
      <c r="F52" s="24">
        <f t="shared" si="1"/>
        <v>365</v>
      </c>
      <c r="G52" s="25">
        <v>48</v>
      </c>
      <c r="H52" s="26">
        <f t="shared" si="3"/>
        <v>46404</v>
      </c>
      <c r="I52" s="26">
        <f t="shared" si="4"/>
        <v>46435</v>
      </c>
      <c r="J52" s="25">
        <f t="shared" si="0"/>
        <v>4</v>
      </c>
      <c r="K52" s="4"/>
      <c r="L52" s="5"/>
      <c r="M52" s="27">
        <f t="shared" si="5"/>
        <v>2807271.3300000005</v>
      </c>
      <c r="N52" s="27">
        <f t="shared" si="6"/>
        <v>24860.94</v>
      </c>
      <c r="O52" s="27">
        <f t="shared" si="7"/>
        <v>1495.2099999999991</v>
      </c>
      <c r="P52" s="27">
        <f t="shared" si="8"/>
        <v>23365.73</v>
      </c>
      <c r="Q52" s="28">
        <f t="shared" si="9"/>
        <v>2805776.1200000006</v>
      </c>
      <c r="R52" s="8"/>
      <c r="S52" s="29">
        <f t="shared" si="2"/>
        <v>0</v>
      </c>
      <c r="T52" s="29"/>
    </row>
    <row r="53" spans="1:20" x14ac:dyDescent="0.25">
      <c r="A53" s="8"/>
      <c r="B53" s="36"/>
      <c r="C53" s="8"/>
      <c r="D53" s="8"/>
      <c r="E53" s="8"/>
      <c r="F53" s="24">
        <f t="shared" si="1"/>
        <v>365</v>
      </c>
      <c r="G53" s="25">
        <v>49</v>
      </c>
      <c r="H53" s="26">
        <f t="shared" si="3"/>
        <v>46435</v>
      </c>
      <c r="I53" s="26">
        <f t="shared" si="4"/>
        <v>46463</v>
      </c>
      <c r="J53" s="25">
        <f t="shared" si="0"/>
        <v>5</v>
      </c>
      <c r="K53" s="4"/>
      <c r="L53" s="5"/>
      <c r="M53" s="27">
        <f t="shared" si="5"/>
        <v>2805776.1200000006</v>
      </c>
      <c r="N53" s="27">
        <f t="shared" si="6"/>
        <v>24860.94</v>
      </c>
      <c r="O53" s="27">
        <f t="shared" si="7"/>
        <v>3767.6499999999978</v>
      </c>
      <c r="P53" s="27">
        <f t="shared" si="8"/>
        <v>21093.29</v>
      </c>
      <c r="Q53" s="28">
        <f t="shared" si="9"/>
        <v>2802008.4700000007</v>
      </c>
      <c r="R53" s="8"/>
      <c r="S53" s="29">
        <f t="shared" si="2"/>
        <v>0</v>
      </c>
      <c r="T53" s="29"/>
    </row>
    <row r="54" spans="1:20" x14ac:dyDescent="0.25">
      <c r="A54" s="8"/>
      <c r="B54" s="36"/>
      <c r="C54" s="8"/>
      <c r="D54" s="8"/>
      <c r="E54" s="8"/>
      <c r="F54" s="24">
        <f t="shared" si="1"/>
        <v>365</v>
      </c>
      <c r="G54" s="25">
        <v>50</v>
      </c>
      <c r="H54" s="26">
        <f t="shared" si="3"/>
        <v>46463</v>
      </c>
      <c r="I54" s="26">
        <f t="shared" si="4"/>
        <v>46494</v>
      </c>
      <c r="J54" s="25">
        <f t="shared" si="0"/>
        <v>5</v>
      </c>
      <c r="K54" s="4"/>
      <c r="L54" s="5"/>
      <c r="M54" s="27">
        <f t="shared" si="5"/>
        <v>2802008.4700000007</v>
      </c>
      <c r="N54" s="27">
        <f t="shared" si="6"/>
        <v>24860.94</v>
      </c>
      <c r="O54" s="27">
        <f t="shared" si="7"/>
        <v>1539.0200000000004</v>
      </c>
      <c r="P54" s="27">
        <f t="shared" si="8"/>
        <v>23321.919999999998</v>
      </c>
      <c r="Q54" s="28">
        <f t="shared" si="9"/>
        <v>2800469.4500000007</v>
      </c>
      <c r="R54" s="8"/>
      <c r="S54" s="29">
        <f t="shared" si="2"/>
        <v>0</v>
      </c>
      <c r="T54" s="29"/>
    </row>
    <row r="55" spans="1:20" x14ac:dyDescent="0.25">
      <c r="A55" s="8"/>
      <c r="B55" s="36"/>
      <c r="C55" s="8"/>
      <c r="D55" s="8"/>
      <c r="E55" s="8"/>
      <c r="F55" s="24">
        <f t="shared" si="1"/>
        <v>365</v>
      </c>
      <c r="G55" s="25">
        <v>51</v>
      </c>
      <c r="H55" s="26">
        <f t="shared" si="3"/>
        <v>46494</v>
      </c>
      <c r="I55" s="26">
        <f t="shared" si="4"/>
        <v>46524</v>
      </c>
      <c r="J55" s="25">
        <f t="shared" si="0"/>
        <v>5</v>
      </c>
      <c r="K55" s="4"/>
      <c r="L55" s="5"/>
      <c r="M55" s="27">
        <f t="shared" si="5"/>
        <v>2800469.4500000007</v>
      </c>
      <c r="N55" s="27">
        <f t="shared" si="6"/>
        <v>24860.94</v>
      </c>
      <c r="O55" s="27">
        <f t="shared" si="7"/>
        <v>2303.7299999999996</v>
      </c>
      <c r="P55" s="27">
        <f t="shared" si="8"/>
        <v>22557.21</v>
      </c>
      <c r="Q55" s="28">
        <f t="shared" si="9"/>
        <v>2798165.7200000007</v>
      </c>
      <c r="R55" s="8"/>
      <c r="S55" s="29">
        <f t="shared" si="2"/>
        <v>0</v>
      </c>
      <c r="T55" s="29"/>
    </row>
    <row r="56" spans="1:20" x14ac:dyDescent="0.25">
      <c r="A56" s="8"/>
      <c r="B56" s="36"/>
      <c r="C56" s="8"/>
      <c r="D56" s="8"/>
      <c r="E56" s="8"/>
      <c r="F56" s="24">
        <f t="shared" si="1"/>
        <v>365</v>
      </c>
      <c r="G56" s="25">
        <v>52</v>
      </c>
      <c r="H56" s="26">
        <f t="shared" si="3"/>
        <v>46524</v>
      </c>
      <c r="I56" s="26">
        <f t="shared" si="4"/>
        <v>46555</v>
      </c>
      <c r="J56" s="25">
        <f t="shared" si="0"/>
        <v>5</v>
      </c>
      <c r="K56" s="4"/>
      <c r="L56" s="5"/>
      <c r="M56" s="27">
        <f t="shared" si="5"/>
        <v>2798165.7200000007</v>
      </c>
      <c r="N56" s="27">
        <f t="shared" si="6"/>
        <v>24860.94</v>
      </c>
      <c r="O56" s="27">
        <f t="shared" si="7"/>
        <v>1571</v>
      </c>
      <c r="P56" s="27">
        <f t="shared" si="8"/>
        <v>23289.94</v>
      </c>
      <c r="Q56" s="28">
        <f t="shared" si="9"/>
        <v>2796594.7200000007</v>
      </c>
      <c r="R56" s="8"/>
      <c r="S56" s="29">
        <f t="shared" si="2"/>
        <v>0</v>
      </c>
      <c r="T56" s="29"/>
    </row>
    <row r="57" spans="1:20" x14ac:dyDescent="0.25">
      <c r="A57" s="8"/>
      <c r="B57" s="36"/>
      <c r="C57" s="8"/>
      <c r="D57" s="8"/>
      <c r="E57" s="8"/>
      <c r="F57" s="24">
        <f t="shared" si="1"/>
        <v>365</v>
      </c>
      <c r="G57" s="25">
        <v>53</v>
      </c>
      <c r="H57" s="26">
        <f t="shared" si="3"/>
        <v>46555</v>
      </c>
      <c r="I57" s="26">
        <f t="shared" si="4"/>
        <v>46585</v>
      </c>
      <c r="J57" s="25">
        <f t="shared" si="0"/>
        <v>5</v>
      </c>
      <c r="K57" s="4"/>
      <c r="L57" s="5"/>
      <c r="M57" s="27">
        <f t="shared" si="5"/>
        <v>2796594.7200000007</v>
      </c>
      <c r="N57" s="27">
        <f t="shared" si="6"/>
        <v>24860.94</v>
      </c>
      <c r="O57" s="27">
        <f t="shared" si="7"/>
        <v>2334.9399999999987</v>
      </c>
      <c r="P57" s="27">
        <f t="shared" si="8"/>
        <v>22526</v>
      </c>
      <c r="Q57" s="28">
        <f t="shared" si="9"/>
        <v>2794259.7800000007</v>
      </c>
      <c r="R57" s="8"/>
      <c r="S57" s="29">
        <f t="shared" si="2"/>
        <v>0</v>
      </c>
      <c r="T57" s="29"/>
    </row>
    <row r="58" spans="1:20" x14ac:dyDescent="0.25">
      <c r="A58" s="8"/>
      <c r="B58" s="36"/>
      <c r="C58" s="8"/>
      <c r="D58" s="8"/>
      <c r="E58" s="8"/>
      <c r="F58" s="24">
        <f t="shared" si="1"/>
        <v>365</v>
      </c>
      <c r="G58" s="25">
        <v>54</v>
      </c>
      <c r="H58" s="26">
        <f t="shared" si="3"/>
        <v>46585</v>
      </c>
      <c r="I58" s="26">
        <f t="shared" si="4"/>
        <v>46616</v>
      </c>
      <c r="J58" s="25">
        <f t="shared" si="0"/>
        <v>5</v>
      </c>
      <c r="K58" s="4"/>
      <c r="L58" s="5"/>
      <c r="M58" s="27">
        <f t="shared" si="5"/>
        <v>2794259.7800000007</v>
      </c>
      <c r="N58" s="27">
        <f t="shared" si="6"/>
        <v>24860.94</v>
      </c>
      <c r="O58" s="27">
        <f t="shared" si="7"/>
        <v>1603.5099999999984</v>
      </c>
      <c r="P58" s="27">
        <f t="shared" si="8"/>
        <v>23257.43</v>
      </c>
      <c r="Q58" s="28">
        <f t="shared" si="9"/>
        <v>2792656.2700000009</v>
      </c>
      <c r="R58" s="8"/>
      <c r="S58" s="29">
        <f t="shared" si="2"/>
        <v>0</v>
      </c>
      <c r="T58" s="29"/>
    </row>
    <row r="59" spans="1:20" x14ac:dyDescent="0.25">
      <c r="A59" s="8"/>
      <c r="B59" s="36"/>
      <c r="C59" s="8"/>
      <c r="D59" s="8"/>
      <c r="E59" s="8"/>
      <c r="F59" s="24">
        <f t="shared" si="1"/>
        <v>365</v>
      </c>
      <c r="G59" s="25">
        <v>55</v>
      </c>
      <c r="H59" s="26">
        <f t="shared" si="3"/>
        <v>46616</v>
      </c>
      <c r="I59" s="26">
        <f t="shared" si="4"/>
        <v>46647</v>
      </c>
      <c r="J59" s="25">
        <f t="shared" si="0"/>
        <v>5</v>
      </c>
      <c r="K59" s="4"/>
      <c r="L59" s="5"/>
      <c r="M59" s="27">
        <f t="shared" si="5"/>
        <v>2792656.2700000009</v>
      </c>
      <c r="N59" s="27">
        <f t="shared" si="6"/>
        <v>24860.94</v>
      </c>
      <c r="O59" s="27">
        <f t="shared" si="7"/>
        <v>1616.8599999999969</v>
      </c>
      <c r="P59" s="27">
        <f t="shared" si="8"/>
        <v>23244.080000000002</v>
      </c>
      <c r="Q59" s="28">
        <f t="shared" si="9"/>
        <v>2791039.4100000011</v>
      </c>
      <c r="R59" s="8"/>
      <c r="S59" s="29">
        <f t="shared" si="2"/>
        <v>0</v>
      </c>
      <c r="T59" s="29"/>
    </row>
    <row r="60" spans="1:20" x14ac:dyDescent="0.25">
      <c r="A60" s="8"/>
      <c r="B60" s="36"/>
      <c r="C60" s="8"/>
      <c r="D60" s="8"/>
      <c r="E60" s="8"/>
      <c r="F60" s="24">
        <f t="shared" si="1"/>
        <v>365</v>
      </c>
      <c r="G60" s="25">
        <v>56</v>
      </c>
      <c r="H60" s="26">
        <f t="shared" si="3"/>
        <v>46647</v>
      </c>
      <c r="I60" s="26">
        <f t="shared" si="4"/>
        <v>46677</v>
      </c>
      <c r="J60" s="25">
        <f t="shared" si="0"/>
        <v>5</v>
      </c>
      <c r="K60" s="4"/>
      <c r="L60" s="5"/>
      <c r="M60" s="27">
        <f t="shared" si="5"/>
        <v>2791039.4100000011</v>
      </c>
      <c r="N60" s="27">
        <f t="shared" si="6"/>
        <v>24860.94</v>
      </c>
      <c r="O60" s="27">
        <f t="shared" si="7"/>
        <v>2379.6899999999987</v>
      </c>
      <c r="P60" s="27">
        <f t="shared" si="8"/>
        <v>22481.25</v>
      </c>
      <c r="Q60" s="28">
        <f t="shared" si="9"/>
        <v>2788659.7200000011</v>
      </c>
      <c r="R60" s="8"/>
      <c r="S60" s="29">
        <f t="shared" si="2"/>
        <v>0</v>
      </c>
      <c r="T60" s="29"/>
    </row>
    <row r="61" spans="1:20" x14ac:dyDescent="0.25">
      <c r="A61" s="8"/>
      <c r="B61" s="36"/>
      <c r="C61" s="8"/>
      <c r="D61" s="8"/>
      <c r="E61" s="8"/>
      <c r="F61" s="24">
        <f t="shared" si="1"/>
        <v>365</v>
      </c>
      <c r="G61" s="25">
        <v>57</v>
      </c>
      <c r="H61" s="26">
        <f t="shared" si="3"/>
        <v>46677</v>
      </c>
      <c r="I61" s="26">
        <f t="shared" si="4"/>
        <v>46708</v>
      </c>
      <c r="J61" s="25">
        <f t="shared" si="0"/>
        <v>5</v>
      </c>
      <c r="K61" s="4"/>
      <c r="L61" s="5"/>
      <c r="M61" s="27">
        <f t="shared" si="5"/>
        <v>2788659.7200000011</v>
      </c>
      <c r="N61" s="27">
        <f t="shared" si="6"/>
        <v>24860.94</v>
      </c>
      <c r="O61" s="27">
        <f t="shared" si="7"/>
        <v>1650.119999999999</v>
      </c>
      <c r="P61" s="27">
        <f t="shared" si="8"/>
        <v>23210.82</v>
      </c>
      <c r="Q61" s="28">
        <f t="shared" si="9"/>
        <v>2787009.600000001</v>
      </c>
      <c r="R61" s="8"/>
      <c r="S61" s="29">
        <f t="shared" si="2"/>
        <v>0</v>
      </c>
      <c r="T61" s="29"/>
    </row>
    <row r="62" spans="1:20" x14ac:dyDescent="0.25">
      <c r="A62" s="8"/>
      <c r="B62" s="36"/>
      <c r="C62" s="8"/>
      <c r="D62" s="8"/>
      <c r="E62" s="8"/>
      <c r="F62" s="24">
        <f t="shared" si="1"/>
        <v>365</v>
      </c>
      <c r="G62" s="25">
        <v>58</v>
      </c>
      <c r="H62" s="26">
        <f t="shared" si="3"/>
        <v>46708</v>
      </c>
      <c r="I62" s="26">
        <f t="shared" si="4"/>
        <v>46738</v>
      </c>
      <c r="J62" s="25">
        <f t="shared" si="0"/>
        <v>5</v>
      </c>
      <c r="K62" s="4"/>
      <c r="L62" s="5"/>
      <c r="M62" s="27">
        <f t="shared" si="5"/>
        <v>2787009.600000001</v>
      </c>
      <c r="N62" s="27">
        <f t="shared" si="6"/>
        <v>24860.94</v>
      </c>
      <c r="O62" s="27">
        <f t="shared" si="7"/>
        <v>2412.1499999999978</v>
      </c>
      <c r="P62" s="27">
        <f t="shared" si="8"/>
        <v>22448.79</v>
      </c>
      <c r="Q62" s="28">
        <f t="shared" si="9"/>
        <v>2784597.4500000011</v>
      </c>
      <c r="R62" s="8"/>
      <c r="S62" s="29">
        <f t="shared" si="2"/>
        <v>0</v>
      </c>
      <c r="T62" s="29"/>
    </row>
    <row r="63" spans="1:20" x14ac:dyDescent="0.25">
      <c r="A63" s="8"/>
      <c r="B63" s="36"/>
      <c r="C63" s="8"/>
      <c r="D63" s="8"/>
      <c r="E63" s="8"/>
      <c r="F63" s="24">
        <f t="shared" si="1"/>
        <v>366</v>
      </c>
      <c r="G63" s="25">
        <v>59</v>
      </c>
      <c r="H63" s="26">
        <f t="shared" si="3"/>
        <v>46738</v>
      </c>
      <c r="I63" s="26">
        <f t="shared" si="4"/>
        <v>46769</v>
      </c>
      <c r="J63" s="25">
        <f t="shared" si="0"/>
        <v>5</v>
      </c>
      <c r="K63" s="4"/>
      <c r="L63" s="5"/>
      <c r="M63" s="27">
        <f t="shared" si="5"/>
        <v>2784597.4500000011</v>
      </c>
      <c r="N63" s="27">
        <f t="shared" si="6"/>
        <v>24860.94</v>
      </c>
      <c r="O63" s="27">
        <f t="shared" si="7"/>
        <v>1747.2599999999984</v>
      </c>
      <c r="P63" s="27">
        <f t="shared" si="8"/>
        <v>23113.68</v>
      </c>
      <c r="Q63" s="28">
        <f t="shared" si="9"/>
        <v>2782850.1900000013</v>
      </c>
      <c r="R63" s="8"/>
      <c r="S63" s="29">
        <f t="shared" si="2"/>
        <v>0</v>
      </c>
      <c r="T63" s="29"/>
    </row>
    <row r="64" spans="1:20" x14ac:dyDescent="0.25">
      <c r="A64" s="8"/>
      <c r="B64" s="36"/>
      <c r="C64" s="8"/>
      <c r="D64" s="8"/>
      <c r="E64" s="8"/>
      <c r="F64" s="24">
        <f t="shared" si="1"/>
        <v>366</v>
      </c>
      <c r="G64" s="25">
        <v>60</v>
      </c>
      <c r="H64" s="26">
        <f t="shared" si="3"/>
        <v>46769</v>
      </c>
      <c r="I64" s="26">
        <f t="shared" si="4"/>
        <v>46800</v>
      </c>
      <c r="J64" s="25">
        <f t="shared" si="0"/>
        <v>5</v>
      </c>
      <c r="K64" s="4"/>
      <c r="L64" s="5"/>
      <c r="M64" s="27">
        <f t="shared" si="5"/>
        <v>2782850.1900000013</v>
      </c>
      <c r="N64" s="27">
        <f t="shared" si="6"/>
        <v>24860.94</v>
      </c>
      <c r="O64" s="27">
        <f t="shared" si="7"/>
        <v>1761.7599999999984</v>
      </c>
      <c r="P64" s="27">
        <f t="shared" si="8"/>
        <v>23099.18</v>
      </c>
      <c r="Q64" s="28">
        <f t="shared" si="9"/>
        <v>2781088.4300000016</v>
      </c>
      <c r="R64" s="8"/>
      <c r="S64" s="29">
        <f t="shared" si="2"/>
        <v>0</v>
      </c>
      <c r="T64" s="29"/>
    </row>
    <row r="65" spans="1:20" x14ac:dyDescent="0.25">
      <c r="A65" s="8"/>
      <c r="B65" s="36"/>
      <c r="C65" s="8"/>
      <c r="D65" s="8"/>
      <c r="E65" s="8"/>
      <c r="F65" s="24">
        <f t="shared" si="1"/>
        <v>366</v>
      </c>
      <c r="G65" s="25">
        <v>61</v>
      </c>
      <c r="H65" s="26">
        <f t="shared" si="3"/>
        <v>46800</v>
      </c>
      <c r="I65" s="26">
        <f t="shared" si="4"/>
        <v>46829</v>
      </c>
      <c r="J65" s="25">
        <f t="shared" si="0"/>
        <v>6</v>
      </c>
      <c r="K65" s="4"/>
      <c r="L65" s="5"/>
      <c r="M65" s="27">
        <f t="shared" si="5"/>
        <v>2781088.4300000016</v>
      </c>
      <c r="N65" s="27">
        <f t="shared" si="6"/>
        <v>24860.94</v>
      </c>
      <c r="O65" s="27">
        <f t="shared" si="7"/>
        <v>3265.7099999999991</v>
      </c>
      <c r="P65" s="27">
        <f t="shared" si="8"/>
        <v>21595.23</v>
      </c>
      <c r="Q65" s="28">
        <f t="shared" si="9"/>
        <v>2777822.7200000016</v>
      </c>
      <c r="R65" s="8"/>
      <c r="S65" s="29">
        <f t="shared" si="2"/>
        <v>0</v>
      </c>
      <c r="T65" s="29"/>
    </row>
    <row r="66" spans="1:20" x14ac:dyDescent="0.25">
      <c r="A66" s="8"/>
      <c r="B66" s="36"/>
      <c r="C66" s="8"/>
      <c r="D66" s="8"/>
      <c r="E66" s="8"/>
      <c r="F66" s="24">
        <f t="shared" si="1"/>
        <v>366</v>
      </c>
      <c r="G66" s="25">
        <v>62</v>
      </c>
      <c r="H66" s="26">
        <f t="shared" si="3"/>
        <v>46829</v>
      </c>
      <c r="I66" s="26">
        <f t="shared" si="4"/>
        <v>46860</v>
      </c>
      <c r="J66" s="25">
        <f t="shared" si="0"/>
        <v>6</v>
      </c>
      <c r="K66" s="4"/>
      <c r="L66" s="5"/>
      <c r="M66" s="27">
        <f t="shared" si="5"/>
        <v>2777822.7200000016</v>
      </c>
      <c r="N66" s="27">
        <f t="shared" si="6"/>
        <v>24860.94</v>
      </c>
      <c r="O66" s="27">
        <f t="shared" si="7"/>
        <v>1803.489999999998</v>
      </c>
      <c r="P66" s="27">
        <f t="shared" si="8"/>
        <v>23057.45</v>
      </c>
      <c r="Q66" s="28">
        <f t="shared" si="9"/>
        <v>2776019.2300000014</v>
      </c>
      <c r="R66" s="8"/>
      <c r="S66" s="29">
        <f t="shared" si="2"/>
        <v>0</v>
      </c>
      <c r="T66" s="29"/>
    </row>
    <row r="67" spans="1:20" x14ac:dyDescent="0.25">
      <c r="A67" s="8"/>
      <c r="B67" s="36"/>
      <c r="C67" s="8"/>
      <c r="D67" s="8"/>
      <c r="E67" s="8"/>
      <c r="F67" s="24">
        <f t="shared" si="1"/>
        <v>366</v>
      </c>
      <c r="G67" s="25">
        <v>63</v>
      </c>
      <c r="H67" s="26">
        <f t="shared" si="3"/>
        <v>46860</v>
      </c>
      <c r="I67" s="26">
        <f t="shared" si="4"/>
        <v>46890</v>
      </c>
      <c r="J67" s="25">
        <f t="shared" si="0"/>
        <v>6</v>
      </c>
      <c r="K67" s="4"/>
      <c r="L67" s="5"/>
      <c r="M67" s="27">
        <f t="shared" si="5"/>
        <v>2776019.2300000014</v>
      </c>
      <c r="N67" s="27">
        <f t="shared" si="6"/>
        <v>24860.94</v>
      </c>
      <c r="O67" s="27">
        <f t="shared" si="7"/>
        <v>2561.7700000000004</v>
      </c>
      <c r="P67" s="27">
        <f t="shared" si="8"/>
        <v>22299.17</v>
      </c>
      <c r="Q67" s="28">
        <f t="shared" si="9"/>
        <v>2773457.4600000014</v>
      </c>
      <c r="R67" s="8"/>
      <c r="S67" s="29">
        <f t="shared" si="2"/>
        <v>0</v>
      </c>
      <c r="T67" s="29"/>
    </row>
    <row r="68" spans="1:20" x14ac:dyDescent="0.25">
      <c r="A68" s="8"/>
      <c r="B68" s="36"/>
      <c r="C68" s="8"/>
      <c r="D68" s="8"/>
      <c r="E68" s="8"/>
      <c r="F68" s="24">
        <f t="shared" si="1"/>
        <v>366</v>
      </c>
      <c r="G68" s="25">
        <v>64</v>
      </c>
      <c r="H68" s="26">
        <f t="shared" si="3"/>
        <v>46890</v>
      </c>
      <c r="I68" s="26">
        <f t="shared" si="4"/>
        <v>46921</v>
      </c>
      <c r="J68" s="25">
        <f t="shared" si="0"/>
        <v>6</v>
      </c>
      <c r="K68" s="4"/>
      <c r="L68" s="5"/>
      <c r="M68" s="27">
        <f t="shared" si="5"/>
        <v>2773457.4600000014</v>
      </c>
      <c r="N68" s="27">
        <f t="shared" si="6"/>
        <v>24860.94</v>
      </c>
      <c r="O68" s="27">
        <f t="shared" si="7"/>
        <v>1839.7299999999996</v>
      </c>
      <c r="P68" s="27">
        <f t="shared" si="8"/>
        <v>23021.21</v>
      </c>
      <c r="Q68" s="28">
        <f t="shared" si="9"/>
        <v>2771617.7300000014</v>
      </c>
      <c r="R68" s="8"/>
      <c r="S68" s="29">
        <f t="shared" si="2"/>
        <v>0</v>
      </c>
      <c r="T68" s="29"/>
    </row>
    <row r="69" spans="1:20" x14ac:dyDescent="0.25">
      <c r="A69" s="8"/>
      <c r="B69" s="36"/>
      <c r="C69" s="8"/>
      <c r="D69" s="8"/>
      <c r="E69" s="8"/>
      <c r="F69" s="24">
        <f t="shared" si="1"/>
        <v>366</v>
      </c>
      <c r="G69" s="25">
        <v>65</v>
      </c>
      <c r="H69" s="26">
        <f t="shared" si="3"/>
        <v>46921</v>
      </c>
      <c r="I69" s="26">
        <f t="shared" si="4"/>
        <v>46951</v>
      </c>
      <c r="J69" s="25">
        <f t="shared" ref="J69:J132" si="10">ROUNDUP(G69/12,0)</f>
        <v>6</v>
      </c>
      <c r="K69" s="4"/>
      <c r="L69" s="5"/>
      <c r="M69" s="27">
        <f t="shared" si="5"/>
        <v>2771617.7300000014</v>
      </c>
      <c r="N69" s="27">
        <f t="shared" si="6"/>
        <v>24860.94</v>
      </c>
      <c r="O69" s="27">
        <f t="shared" si="7"/>
        <v>2597.1299999999974</v>
      </c>
      <c r="P69" s="27">
        <f t="shared" si="8"/>
        <v>22263.81</v>
      </c>
      <c r="Q69" s="28">
        <f t="shared" si="9"/>
        <v>2769020.6000000015</v>
      </c>
      <c r="R69" s="8"/>
      <c r="S69" s="29">
        <f t="shared" si="2"/>
        <v>0</v>
      </c>
      <c r="T69" s="29"/>
    </row>
    <row r="70" spans="1:20" x14ac:dyDescent="0.25">
      <c r="A70" s="8"/>
      <c r="B70" s="36"/>
      <c r="C70" s="8"/>
      <c r="D70" s="8"/>
      <c r="E70" s="8"/>
      <c r="F70" s="24">
        <f t="shared" ref="F70:F133" si="11">DATE(YEAR(I70),12,31)-DATE(YEAR(I70),1,1)+1</f>
        <v>366</v>
      </c>
      <c r="G70" s="25">
        <v>66</v>
      </c>
      <c r="H70" s="26">
        <f t="shared" ref="H70:H133" si="12">I69</f>
        <v>46951</v>
      </c>
      <c r="I70" s="26">
        <f t="shared" si="4"/>
        <v>46982</v>
      </c>
      <c r="J70" s="25">
        <f t="shared" si="10"/>
        <v>6</v>
      </c>
      <c r="K70" s="4"/>
      <c r="L70" s="5"/>
      <c r="M70" s="27">
        <f t="shared" si="5"/>
        <v>2769020.6000000015</v>
      </c>
      <c r="N70" s="27">
        <f t="shared" si="6"/>
        <v>24860.94</v>
      </c>
      <c r="O70" s="27">
        <f t="shared" si="7"/>
        <v>1876.5599999999977</v>
      </c>
      <c r="P70" s="27">
        <f t="shared" si="8"/>
        <v>22984.38</v>
      </c>
      <c r="Q70" s="28">
        <f t="shared" si="9"/>
        <v>2767144.0400000014</v>
      </c>
      <c r="R70" s="8"/>
      <c r="S70" s="29">
        <f t="shared" ref="S70:S133" si="13">IF(AND(K69=$V$4,L69&gt;0),1,0)</f>
        <v>0</v>
      </c>
      <c r="T70" s="29"/>
    </row>
    <row r="71" spans="1:20" x14ac:dyDescent="0.25">
      <c r="A71" s="8"/>
      <c r="B71" s="36"/>
      <c r="C71" s="8"/>
      <c r="D71" s="8"/>
      <c r="E71" s="8"/>
      <c r="F71" s="24">
        <f t="shared" si="11"/>
        <v>366</v>
      </c>
      <c r="G71" s="25">
        <v>67</v>
      </c>
      <c r="H71" s="26">
        <f t="shared" si="12"/>
        <v>46982</v>
      </c>
      <c r="I71" s="26">
        <f t="shared" ref="I71:I134" si="14">EDATE(I70,1)</f>
        <v>47013</v>
      </c>
      <c r="J71" s="25">
        <f t="shared" si="10"/>
        <v>6</v>
      </c>
      <c r="K71" s="4"/>
      <c r="L71" s="5"/>
      <c r="M71" s="27">
        <f t="shared" ref="M71:M134" si="15">Q70</f>
        <v>2767144.0400000014</v>
      </c>
      <c r="N71" s="27">
        <f t="shared" ref="N71:N134" si="16">IF(M71&lt;$C$10,M71*((1+$C$9*(DATEDIF(H71,I71,"d")+1)/F71)),IF(AND(L70&lt;&gt;0,K70=$V$4),ROUND(M71*$C$9/12/(1-(1+$C$9/12)^(-(($C$8*12-G70)-1))),2),IF(G71=2,$C$10,N70)))</f>
        <v>24860.94</v>
      </c>
      <c r="O71" s="27">
        <f t="shared" ref="O71:O134" si="17">IFERROR(IF(M71&gt;N71,N71-P71,M71),"-")</f>
        <v>1892.1299999999974</v>
      </c>
      <c r="P71" s="27">
        <f t="shared" ref="P71:P134" si="18">IFERROR(IF($C$8*12&gt;=G71,ROUND(M71*$C$9*DATEDIF(H71,I71,"d")/F71,2),0),"-")</f>
        <v>22968.81</v>
      </c>
      <c r="Q71" s="28">
        <f t="shared" ref="Q71:Q134" si="19">M71-O71-IF(K71="",0,L71)</f>
        <v>2765251.9100000015</v>
      </c>
      <c r="R71" s="8"/>
      <c r="S71" s="29">
        <f t="shared" si="13"/>
        <v>0</v>
      </c>
      <c r="T71" s="29"/>
    </row>
    <row r="72" spans="1:20" x14ac:dyDescent="0.25">
      <c r="A72" s="8"/>
      <c r="B72" s="36"/>
      <c r="C72" s="8"/>
      <c r="D72" s="8"/>
      <c r="E72" s="8"/>
      <c r="F72" s="24">
        <f t="shared" si="11"/>
        <v>366</v>
      </c>
      <c r="G72" s="25">
        <v>68</v>
      </c>
      <c r="H72" s="26">
        <f t="shared" si="12"/>
        <v>47013</v>
      </c>
      <c r="I72" s="26">
        <f t="shared" si="14"/>
        <v>47043</v>
      </c>
      <c r="J72" s="25">
        <f t="shared" si="10"/>
        <v>6</v>
      </c>
      <c r="K72" s="4"/>
      <c r="L72" s="5"/>
      <c r="M72" s="27">
        <f t="shared" si="15"/>
        <v>2765251.9100000015</v>
      </c>
      <c r="N72" s="27">
        <f t="shared" si="16"/>
        <v>24860.94</v>
      </c>
      <c r="O72" s="27">
        <f t="shared" si="17"/>
        <v>2648.2599999999984</v>
      </c>
      <c r="P72" s="27">
        <f t="shared" si="18"/>
        <v>22212.68</v>
      </c>
      <c r="Q72" s="28">
        <f t="shared" si="19"/>
        <v>2762603.6500000018</v>
      </c>
      <c r="R72" s="8"/>
      <c r="S72" s="29">
        <f t="shared" si="13"/>
        <v>0</v>
      </c>
      <c r="T72" s="29"/>
    </row>
    <row r="73" spans="1:20" x14ac:dyDescent="0.25">
      <c r="A73" s="8"/>
      <c r="B73" s="36"/>
      <c r="C73" s="8"/>
      <c r="D73" s="8"/>
      <c r="E73" s="8"/>
      <c r="F73" s="24">
        <f t="shared" si="11"/>
        <v>366</v>
      </c>
      <c r="G73" s="25">
        <v>69</v>
      </c>
      <c r="H73" s="26">
        <f t="shared" si="12"/>
        <v>47043</v>
      </c>
      <c r="I73" s="26">
        <f t="shared" si="14"/>
        <v>47074</v>
      </c>
      <c r="J73" s="25">
        <f t="shared" si="10"/>
        <v>6</v>
      </c>
      <c r="K73" s="4"/>
      <c r="L73" s="5"/>
      <c r="M73" s="27">
        <f t="shared" si="15"/>
        <v>2762603.6500000018</v>
      </c>
      <c r="N73" s="27">
        <f t="shared" si="16"/>
        <v>24860.94</v>
      </c>
      <c r="O73" s="27">
        <f t="shared" si="17"/>
        <v>1929.8199999999997</v>
      </c>
      <c r="P73" s="27">
        <f t="shared" si="18"/>
        <v>22931.119999999999</v>
      </c>
      <c r="Q73" s="28">
        <f t="shared" si="19"/>
        <v>2760673.8300000019</v>
      </c>
      <c r="R73" s="8"/>
      <c r="S73" s="29">
        <f t="shared" si="13"/>
        <v>0</v>
      </c>
      <c r="T73" s="29"/>
    </row>
    <row r="74" spans="1:20" x14ac:dyDescent="0.25">
      <c r="A74" s="8"/>
      <c r="B74" s="36"/>
      <c r="C74" s="8"/>
      <c r="D74" s="8"/>
      <c r="E74" s="8"/>
      <c r="F74" s="24">
        <f t="shared" si="11"/>
        <v>366</v>
      </c>
      <c r="G74" s="25">
        <v>70</v>
      </c>
      <c r="H74" s="26">
        <f t="shared" si="12"/>
        <v>47074</v>
      </c>
      <c r="I74" s="26">
        <f t="shared" si="14"/>
        <v>47104</v>
      </c>
      <c r="J74" s="25">
        <f t="shared" si="10"/>
        <v>6</v>
      </c>
      <c r="K74" s="4"/>
      <c r="L74" s="5"/>
      <c r="M74" s="27">
        <f t="shared" si="15"/>
        <v>2760673.8300000019</v>
      </c>
      <c r="N74" s="27">
        <f t="shared" si="16"/>
        <v>24860.94</v>
      </c>
      <c r="O74" s="27">
        <f t="shared" si="17"/>
        <v>2685.0399999999972</v>
      </c>
      <c r="P74" s="27">
        <f t="shared" si="18"/>
        <v>22175.9</v>
      </c>
      <c r="Q74" s="28">
        <f t="shared" si="19"/>
        <v>2757988.7900000019</v>
      </c>
      <c r="R74" s="8"/>
      <c r="S74" s="29">
        <f t="shared" si="13"/>
        <v>0</v>
      </c>
      <c r="T74" s="29"/>
    </row>
    <row r="75" spans="1:20" x14ac:dyDescent="0.25">
      <c r="A75" s="8"/>
      <c r="B75" s="36"/>
      <c r="C75" s="8"/>
      <c r="D75" s="8"/>
      <c r="E75" s="8"/>
      <c r="F75" s="24">
        <f t="shared" si="11"/>
        <v>365</v>
      </c>
      <c r="G75" s="25">
        <v>71</v>
      </c>
      <c r="H75" s="26">
        <f t="shared" si="12"/>
        <v>47104</v>
      </c>
      <c r="I75" s="26">
        <f t="shared" si="14"/>
        <v>47135</v>
      </c>
      <c r="J75" s="25">
        <f t="shared" si="10"/>
        <v>6</v>
      </c>
      <c r="K75" s="4"/>
      <c r="L75" s="5"/>
      <c r="M75" s="27">
        <f t="shared" si="15"/>
        <v>2757988.7900000019</v>
      </c>
      <c r="N75" s="27">
        <f t="shared" si="16"/>
        <v>24860.94</v>
      </c>
      <c r="O75" s="27">
        <f t="shared" si="17"/>
        <v>1905.4099999999999</v>
      </c>
      <c r="P75" s="27">
        <f t="shared" si="18"/>
        <v>22955.53</v>
      </c>
      <c r="Q75" s="28">
        <f t="shared" si="19"/>
        <v>2756083.3800000018</v>
      </c>
      <c r="R75" s="8"/>
      <c r="S75" s="29">
        <f t="shared" si="13"/>
        <v>0</v>
      </c>
      <c r="T75" s="29"/>
    </row>
    <row r="76" spans="1:20" x14ac:dyDescent="0.25">
      <c r="A76" s="8"/>
      <c r="B76" s="36"/>
      <c r="C76" s="8"/>
      <c r="D76" s="8"/>
      <c r="E76" s="8"/>
      <c r="F76" s="24">
        <f t="shared" si="11"/>
        <v>365</v>
      </c>
      <c r="G76" s="25">
        <v>72</v>
      </c>
      <c r="H76" s="26">
        <f t="shared" si="12"/>
        <v>47135</v>
      </c>
      <c r="I76" s="26">
        <f t="shared" si="14"/>
        <v>47166</v>
      </c>
      <c r="J76" s="25">
        <f t="shared" si="10"/>
        <v>6</v>
      </c>
      <c r="K76" s="4"/>
      <c r="L76" s="5"/>
      <c r="M76" s="27">
        <f t="shared" si="15"/>
        <v>2756083.3800000018</v>
      </c>
      <c r="N76" s="27">
        <f t="shared" si="16"/>
        <v>24860.94</v>
      </c>
      <c r="O76" s="27">
        <f t="shared" si="17"/>
        <v>1921.2700000000004</v>
      </c>
      <c r="P76" s="27">
        <f t="shared" si="18"/>
        <v>22939.67</v>
      </c>
      <c r="Q76" s="28">
        <f t="shared" si="19"/>
        <v>2754162.1100000017</v>
      </c>
      <c r="R76" s="8"/>
      <c r="S76" s="29">
        <f t="shared" si="13"/>
        <v>0</v>
      </c>
      <c r="T76" s="29"/>
    </row>
    <row r="77" spans="1:20" x14ac:dyDescent="0.25">
      <c r="A77" s="8"/>
      <c r="B77" s="36"/>
      <c r="C77" s="8"/>
      <c r="D77" s="8"/>
      <c r="E77" s="8"/>
      <c r="F77" s="24">
        <f t="shared" si="11"/>
        <v>365</v>
      </c>
      <c r="G77" s="25">
        <v>73</v>
      </c>
      <c r="H77" s="26">
        <f t="shared" si="12"/>
        <v>47166</v>
      </c>
      <c r="I77" s="26">
        <f t="shared" si="14"/>
        <v>47194</v>
      </c>
      <c r="J77" s="25">
        <f t="shared" si="10"/>
        <v>7</v>
      </c>
      <c r="K77" s="4"/>
      <c r="L77" s="5"/>
      <c r="M77" s="27">
        <f t="shared" si="15"/>
        <v>2754162.1100000017</v>
      </c>
      <c r="N77" s="27">
        <f t="shared" si="16"/>
        <v>24860.94</v>
      </c>
      <c r="O77" s="27">
        <f t="shared" si="17"/>
        <v>4155.68</v>
      </c>
      <c r="P77" s="27">
        <f t="shared" si="18"/>
        <v>20705.259999999998</v>
      </c>
      <c r="Q77" s="28">
        <f t="shared" si="19"/>
        <v>2750006.4300000016</v>
      </c>
      <c r="R77" s="8"/>
      <c r="S77" s="29">
        <f t="shared" si="13"/>
        <v>0</v>
      </c>
      <c r="T77" s="29"/>
    </row>
    <row r="78" spans="1:20" x14ac:dyDescent="0.25">
      <c r="A78" s="8"/>
      <c r="B78" s="36"/>
      <c r="C78" s="8"/>
      <c r="D78" s="8"/>
      <c r="E78" s="8"/>
      <c r="F78" s="24">
        <f t="shared" si="11"/>
        <v>365</v>
      </c>
      <c r="G78" s="25">
        <v>74</v>
      </c>
      <c r="H78" s="26">
        <f t="shared" si="12"/>
        <v>47194</v>
      </c>
      <c r="I78" s="26">
        <f t="shared" si="14"/>
        <v>47225</v>
      </c>
      <c r="J78" s="25">
        <f t="shared" si="10"/>
        <v>7</v>
      </c>
      <c r="K78" s="4"/>
      <c r="L78" s="5"/>
      <c r="M78" s="27">
        <f t="shared" si="15"/>
        <v>2750006.4300000016</v>
      </c>
      <c r="N78" s="27">
        <f t="shared" si="16"/>
        <v>24860.94</v>
      </c>
      <c r="O78" s="27">
        <f t="shared" si="17"/>
        <v>1971.8499999999985</v>
      </c>
      <c r="P78" s="27">
        <f t="shared" si="18"/>
        <v>22889.09</v>
      </c>
      <c r="Q78" s="28">
        <f t="shared" si="19"/>
        <v>2748034.5800000015</v>
      </c>
      <c r="R78" s="8"/>
      <c r="S78" s="29">
        <f t="shared" si="13"/>
        <v>0</v>
      </c>
      <c r="T78" s="29"/>
    </row>
    <row r="79" spans="1:20" x14ac:dyDescent="0.25">
      <c r="A79" s="8"/>
      <c r="B79" s="36"/>
      <c r="C79" s="8"/>
      <c r="D79" s="8"/>
      <c r="E79" s="8"/>
      <c r="F79" s="24">
        <f t="shared" si="11"/>
        <v>365</v>
      </c>
      <c r="G79" s="25">
        <v>75</v>
      </c>
      <c r="H79" s="26">
        <f t="shared" si="12"/>
        <v>47225</v>
      </c>
      <c r="I79" s="26">
        <f t="shared" si="14"/>
        <v>47255</v>
      </c>
      <c r="J79" s="25">
        <f t="shared" si="10"/>
        <v>7</v>
      </c>
      <c r="K79" s="4"/>
      <c r="L79" s="5"/>
      <c r="M79" s="27">
        <f t="shared" si="15"/>
        <v>2748034.5800000015</v>
      </c>
      <c r="N79" s="27">
        <f t="shared" si="16"/>
        <v>24860.94</v>
      </c>
      <c r="O79" s="27">
        <f t="shared" si="17"/>
        <v>2726.09</v>
      </c>
      <c r="P79" s="27">
        <f t="shared" si="18"/>
        <v>22134.85</v>
      </c>
      <c r="Q79" s="28">
        <f t="shared" si="19"/>
        <v>2745308.4900000016</v>
      </c>
      <c r="R79" s="8"/>
      <c r="S79" s="29">
        <f t="shared" si="13"/>
        <v>0</v>
      </c>
      <c r="T79" s="29"/>
    </row>
    <row r="80" spans="1:20" x14ac:dyDescent="0.25">
      <c r="A80" s="8"/>
      <c r="B80" s="36"/>
      <c r="C80" s="8"/>
      <c r="D80" s="8"/>
      <c r="E80" s="8"/>
      <c r="F80" s="24">
        <f t="shared" si="11"/>
        <v>365</v>
      </c>
      <c r="G80" s="25">
        <v>76</v>
      </c>
      <c r="H80" s="26">
        <f t="shared" si="12"/>
        <v>47255</v>
      </c>
      <c r="I80" s="26">
        <f t="shared" si="14"/>
        <v>47286</v>
      </c>
      <c r="J80" s="25">
        <f t="shared" si="10"/>
        <v>7</v>
      </c>
      <c r="K80" s="4"/>
      <c r="L80" s="5"/>
      <c r="M80" s="27">
        <f t="shared" si="15"/>
        <v>2745308.4900000016</v>
      </c>
      <c r="N80" s="27">
        <f t="shared" si="16"/>
        <v>24860.94</v>
      </c>
      <c r="O80" s="27">
        <f t="shared" si="17"/>
        <v>2010.9499999999971</v>
      </c>
      <c r="P80" s="27">
        <f t="shared" si="18"/>
        <v>22849.99</v>
      </c>
      <c r="Q80" s="28">
        <f t="shared" si="19"/>
        <v>2743297.5400000014</v>
      </c>
      <c r="R80" s="8"/>
      <c r="S80" s="29">
        <f t="shared" si="13"/>
        <v>0</v>
      </c>
      <c r="T80" s="29"/>
    </row>
    <row r="81" spans="1:20" x14ac:dyDescent="0.25">
      <c r="A81" s="8"/>
      <c r="B81" s="36"/>
      <c r="C81" s="8"/>
      <c r="D81" s="8"/>
      <c r="E81" s="8"/>
      <c r="F81" s="24">
        <f t="shared" si="11"/>
        <v>365</v>
      </c>
      <c r="G81" s="25">
        <v>77</v>
      </c>
      <c r="H81" s="26">
        <f t="shared" si="12"/>
        <v>47286</v>
      </c>
      <c r="I81" s="26">
        <f t="shared" si="14"/>
        <v>47316</v>
      </c>
      <c r="J81" s="25">
        <f t="shared" si="10"/>
        <v>7</v>
      </c>
      <c r="K81" s="4"/>
      <c r="L81" s="5"/>
      <c r="M81" s="27">
        <f t="shared" si="15"/>
        <v>2743297.5400000014</v>
      </c>
      <c r="N81" s="27">
        <f t="shared" si="16"/>
        <v>24860.94</v>
      </c>
      <c r="O81" s="27">
        <f t="shared" si="17"/>
        <v>2764.239999999998</v>
      </c>
      <c r="P81" s="27">
        <f t="shared" si="18"/>
        <v>22096.7</v>
      </c>
      <c r="Q81" s="28">
        <f t="shared" si="19"/>
        <v>2740533.3000000012</v>
      </c>
      <c r="R81" s="8"/>
      <c r="S81" s="29">
        <f t="shared" si="13"/>
        <v>0</v>
      </c>
      <c r="T81" s="29"/>
    </row>
    <row r="82" spans="1:20" x14ac:dyDescent="0.25">
      <c r="A82" s="8"/>
      <c r="B82" s="36"/>
      <c r="C82" s="8"/>
      <c r="D82" s="8"/>
      <c r="E82" s="8"/>
      <c r="F82" s="24">
        <f t="shared" si="11"/>
        <v>365</v>
      </c>
      <c r="G82" s="25">
        <v>78</v>
      </c>
      <c r="H82" s="26">
        <f t="shared" si="12"/>
        <v>47316</v>
      </c>
      <c r="I82" s="26">
        <f t="shared" si="14"/>
        <v>47347</v>
      </c>
      <c r="J82" s="25">
        <f t="shared" si="10"/>
        <v>7</v>
      </c>
      <c r="K82" s="4"/>
      <c r="L82" s="5"/>
      <c r="M82" s="27">
        <f t="shared" si="15"/>
        <v>2740533.3000000012</v>
      </c>
      <c r="N82" s="27">
        <f t="shared" si="16"/>
        <v>24860.94</v>
      </c>
      <c r="O82" s="27">
        <f t="shared" si="17"/>
        <v>2050.6899999999987</v>
      </c>
      <c r="P82" s="27">
        <f t="shared" si="18"/>
        <v>22810.25</v>
      </c>
      <c r="Q82" s="28">
        <f t="shared" si="19"/>
        <v>2738482.6100000013</v>
      </c>
      <c r="R82" s="8"/>
      <c r="S82" s="29">
        <f t="shared" si="13"/>
        <v>0</v>
      </c>
      <c r="T82" s="29"/>
    </row>
    <row r="83" spans="1:20" x14ac:dyDescent="0.25">
      <c r="A83" s="8"/>
      <c r="B83" s="36"/>
      <c r="C83" s="8"/>
      <c r="D83" s="8"/>
      <c r="E83" s="8"/>
      <c r="F83" s="24">
        <f t="shared" si="11"/>
        <v>365</v>
      </c>
      <c r="G83" s="25">
        <v>79</v>
      </c>
      <c r="H83" s="26">
        <f t="shared" si="12"/>
        <v>47347</v>
      </c>
      <c r="I83" s="26">
        <f t="shared" si="14"/>
        <v>47378</v>
      </c>
      <c r="J83" s="25">
        <f t="shared" si="10"/>
        <v>7</v>
      </c>
      <c r="K83" s="4"/>
      <c r="L83" s="5"/>
      <c r="M83" s="27">
        <f t="shared" si="15"/>
        <v>2738482.6100000013</v>
      </c>
      <c r="N83" s="27">
        <f t="shared" si="16"/>
        <v>24860.94</v>
      </c>
      <c r="O83" s="27">
        <f t="shared" si="17"/>
        <v>2067.7599999999984</v>
      </c>
      <c r="P83" s="27">
        <f t="shared" si="18"/>
        <v>22793.18</v>
      </c>
      <c r="Q83" s="28">
        <f t="shared" si="19"/>
        <v>2736414.8500000015</v>
      </c>
      <c r="R83" s="8"/>
      <c r="S83" s="29">
        <f t="shared" si="13"/>
        <v>0</v>
      </c>
      <c r="T83" s="29"/>
    </row>
    <row r="84" spans="1:20" x14ac:dyDescent="0.25">
      <c r="A84" s="8"/>
      <c r="B84" s="36"/>
      <c r="C84" s="8"/>
      <c r="D84" s="8"/>
      <c r="E84" s="8"/>
      <c r="F84" s="24">
        <f t="shared" si="11"/>
        <v>365</v>
      </c>
      <c r="G84" s="25">
        <v>80</v>
      </c>
      <c r="H84" s="26">
        <f t="shared" si="12"/>
        <v>47378</v>
      </c>
      <c r="I84" s="26">
        <f t="shared" si="14"/>
        <v>47408</v>
      </c>
      <c r="J84" s="25">
        <f t="shared" si="10"/>
        <v>7</v>
      </c>
      <c r="K84" s="4"/>
      <c r="L84" s="5"/>
      <c r="M84" s="27">
        <f t="shared" si="15"/>
        <v>2736414.8500000015</v>
      </c>
      <c r="N84" s="27">
        <f t="shared" si="16"/>
        <v>24860.94</v>
      </c>
      <c r="O84" s="27">
        <f t="shared" si="17"/>
        <v>2819.6800000000003</v>
      </c>
      <c r="P84" s="27">
        <f t="shared" si="18"/>
        <v>22041.26</v>
      </c>
      <c r="Q84" s="28">
        <f t="shared" si="19"/>
        <v>2733595.1700000013</v>
      </c>
      <c r="R84" s="8"/>
      <c r="S84" s="29">
        <f t="shared" si="13"/>
        <v>0</v>
      </c>
      <c r="T84" s="29"/>
    </row>
    <row r="85" spans="1:20" x14ac:dyDescent="0.25">
      <c r="A85" s="8"/>
      <c r="B85" s="36"/>
      <c r="C85" s="8"/>
      <c r="D85" s="8"/>
      <c r="E85" s="8"/>
      <c r="F85" s="24">
        <f t="shared" si="11"/>
        <v>365</v>
      </c>
      <c r="G85" s="25">
        <v>81</v>
      </c>
      <c r="H85" s="26">
        <f t="shared" si="12"/>
        <v>47408</v>
      </c>
      <c r="I85" s="26">
        <f t="shared" si="14"/>
        <v>47439</v>
      </c>
      <c r="J85" s="25">
        <f t="shared" si="10"/>
        <v>7</v>
      </c>
      <c r="K85" s="4"/>
      <c r="L85" s="5"/>
      <c r="M85" s="27">
        <f t="shared" si="15"/>
        <v>2733595.1700000013</v>
      </c>
      <c r="N85" s="27">
        <f t="shared" si="16"/>
        <v>24860.94</v>
      </c>
      <c r="O85" s="27">
        <f t="shared" si="17"/>
        <v>2108.4399999999987</v>
      </c>
      <c r="P85" s="27">
        <f t="shared" si="18"/>
        <v>22752.5</v>
      </c>
      <c r="Q85" s="28">
        <f t="shared" si="19"/>
        <v>2731486.7300000014</v>
      </c>
      <c r="R85" s="8"/>
      <c r="S85" s="29">
        <f t="shared" si="13"/>
        <v>0</v>
      </c>
      <c r="T85" s="29"/>
    </row>
    <row r="86" spans="1:20" x14ac:dyDescent="0.25">
      <c r="A86" s="8"/>
      <c r="B86" s="36"/>
      <c r="C86" s="8"/>
      <c r="D86" s="8"/>
      <c r="E86" s="8"/>
      <c r="F86" s="24">
        <f t="shared" si="11"/>
        <v>365</v>
      </c>
      <c r="G86" s="25">
        <v>82</v>
      </c>
      <c r="H86" s="26">
        <f t="shared" si="12"/>
        <v>47439</v>
      </c>
      <c r="I86" s="26">
        <f t="shared" si="14"/>
        <v>47469</v>
      </c>
      <c r="J86" s="25">
        <f t="shared" si="10"/>
        <v>7</v>
      </c>
      <c r="K86" s="4"/>
      <c r="L86" s="5"/>
      <c r="M86" s="27">
        <f t="shared" si="15"/>
        <v>2731486.7300000014</v>
      </c>
      <c r="N86" s="27">
        <f t="shared" si="16"/>
        <v>24860.94</v>
      </c>
      <c r="O86" s="27">
        <f t="shared" si="17"/>
        <v>2859.3799999999974</v>
      </c>
      <c r="P86" s="27">
        <f t="shared" si="18"/>
        <v>22001.56</v>
      </c>
      <c r="Q86" s="28">
        <f t="shared" si="19"/>
        <v>2728627.3500000015</v>
      </c>
      <c r="R86" s="8"/>
      <c r="S86" s="29">
        <f t="shared" si="13"/>
        <v>0</v>
      </c>
      <c r="T86" s="29"/>
    </row>
    <row r="87" spans="1:20" x14ac:dyDescent="0.25">
      <c r="A87" s="8"/>
      <c r="B87" s="36"/>
      <c r="C87" s="8"/>
      <c r="D87" s="8"/>
      <c r="E87" s="8"/>
      <c r="F87" s="24">
        <f t="shared" si="11"/>
        <v>365</v>
      </c>
      <c r="G87" s="25">
        <v>83</v>
      </c>
      <c r="H87" s="26">
        <f t="shared" si="12"/>
        <v>47469</v>
      </c>
      <c r="I87" s="26">
        <f t="shared" si="14"/>
        <v>47500</v>
      </c>
      <c r="J87" s="25">
        <f t="shared" si="10"/>
        <v>7</v>
      </c>
      <c r="K87" s="4"/>
      <c r="L87" s="5"/>
      <c r="M87" s="27">
        <f t="shared" si="15"/>
        <v>2728627.3500000015</v>
      </c>
      <c r="N87" s="27">
        <f t="shared" si="16"/>
        <v>24860.94</v>
      </c>
      <c r="O87" s="27">
        <f t="shared" si="17"/>
        <v>2149.7899999999972</v>
      </c>
      <c r="P87" s="27">
        <f t="shared" si="18"/>
        <v>22711.15</v>
      </c>
      <c r="Q87" s="28">
        <f t="shared" si="19"/>
        <v>2726477.5600000015</v>
      </c>
      <c r="R87" s="8"/>
      <c r="S87" s="29">
        <f t="shared" si="13"/>
        <v>0</v>
      </c>
      <c r="T87" s="29"/>
    </row>
    <row r="88" spans="1:20" x14ac:dyDescent="0.25">
      <c r="A88" s="8"/>
      <c r="B88" s="36"/>
      <c r="C88" s="8"/>
      <c r="D88" s="8"/>
      <c r="E88" s="8"/>
      <c r="F88" s="24">
        <f t="shared" si="11"/>
        <v>365</v>
      </c>
      <c r="G88" s="25">
        <v>84</v>
      </c>
      <c r="H88" s="26">
        <f t="shared" si="12"/>
        <v>47500</v>
      </c>
      <c r="I88" s="26">
        <f t="shared" si="14"/>
        <v>47531</v>
      </c>
      <c r="J88" s="25">
        <f t="shared" si="10"/>
        <v>7</v>
      </c>
      <c r="K88" s="4"/>
      <c r="L88" s="5"/>
      <c r="M88" s="27">
        <f t="shared" si="15"/>
        <v>2726477.5600000015</v>
      </c>
      <c r="N88" s="27">
        <f t="shared" si="16"/>
        <v>24860.94</v>
      </c>
      <c r="O88" s="27">
        <f t="shared" si="17"/>
        <v>2167.6800000000003</v>
      </c>
      <c r="P88" s="27">
        <f t="shared" si="18"/>
        <v>22693.26</v>
      </c>
      <c r="Q88" s="28">
        <f t="shared" si="19"/>
        <v>2724309.8800000013</v>
      </c>
      <c r="R88" s="8"/>
      <c r="S88" s="29">
        <f t="shared" si="13"/>
        <v>0</v>
      </c>
      <c r="T88" s="29"/>
    </row>
    <row r="89" spans="1:20" x14ac:dyDescent="0.25">
      <c r="A89" s="8"/>
      <c r="B89" s="36"/>
      <c r="C89" s="8"/>
      <c r="D89" s="8"/>
      <c r="E89" s="8"/>
      <c r="F89" s="24">
        <f t="shared" si="11"/>
        <v>365</v>
      </c>
      <c r="G89" s="25">
        <v>85</v>
      </c>
      <c r="H89" s="26">
        <f t="shared" si="12"/>
        <v>47531</v>
      </c>
      <c r="I89" s="26">
        <f t="shared" si="14"/>
        <v>47559</v>
      </c>
      <c r="J89" s="25">
        <f t="shared" si="10"/>
        <v>8</v>
      </c>
      <c r="K89" s="4"/>
      <c r="L89" s="5"/>
      <c r="M89" s="27">
        <f t="shared" si="15"/>
        <v>2724309.8800000013</v>
      </c>
      <c r="N89" s="27">
        <f t="shared" si="16"/>
        <v>24860.94</v>
      </c>
      <c r="O89" s="27">
        <f t="shared" si="17"/>
        <v>4380.0999999999985</v>
      </c>
      <c r="P89" s="27">
        <f t="shared" si="18"/>
        <v>20480.84</v>
      </c>
      <c r="Q89" s="28">
        <f t="shared" si="19"/>
        <v>2719929.7800000012</v>
      </c>
      <c r="R89" s="8"/>
      <c r="S89" s="29">
        <f t="shared" si="13"/>
        <v>0</v>
      </c>
      <c r="T89" s="29"/>
    </row>
    <row r="90" spans="1:20" x14ac:dyDescent="0.25">
      <c r="A90" s="8"/>
      <c r="B90" s="36"/>
      <c r="C90" s="8"/>
      <c r="D90" s="8"/>
      <c r="E90" s="8"/>
      <c r="F90" s="24">
        <f t="shared" si="11"/>
        <v>365</v>
      </c>
      <c r="G90" s="25">
        <v>86</v>
      </c>
      <c r="H90" s="26">
        <f t="shared" si="12"/>
        <v>47559</v>
      </c>
      <c r="I90" s="26">
        <f t="shared" si="14"/>
        <v>47590</v>
      </c>
      <c r="J90" s="25">
        <f t="shared" si="10"/>
        <v>8</v>
      </c>
      <c r="K90" s="4"/>
      <c r="L90" s="5"/>
      <c r="M90" s="27">
        <f t="shared" si="15"/>
        <v>2719929.7800000012</v>
      </c>
      <c r="N90" s="27">
        <f t="shared" si="16"/>
        <v>24860.94</v>
      </c>
      <c r="O90" s="27">
        <f t="shared" si="17"/>
        <v>2222.1800000000003</v>
      </c>
      <c r="P90" s="27">
        <f t="shared" si="18"/>
        <v>22638.76</v>
      </c>
      <c r="Q90" s="28">
        <f t="shared" si="19"/>
        <v>2717707.600000001</v>
      </c>
      <c r="R90" s="8"/>
      <c r="S90" s="29">
        <f t="shared" si="13"/>
        <v>0</v>
      </c>
      <c r="T90" s="29"/>
    </row>
    <row r="91" spans="1:20" x14ac:dyDescent="0.25">
      <c r="A91" s="8"/>
      <c r="B91" s="36"/>
      <c r="C91" s="8"/>
      <c r="D91" s="8"/>
      <c r="E91" s="8"/>
      <c r="F91" s="24">
        <f t="shared" si="11"/>
        <v>365</v>
      </c>
      <c r="G91" s="25">
        <v>87</v>
      </c>
      <c r="H91" s="26">
        <f t="shared" si="12"/>
        <v>47590</v>
      </c>
      <c r="I91" s="26">
        <f t="shared" si="14"/>
        <v>47620</v>
      </c>
      <c r="J91" s="25">
        <f t="shared" si="10"/>
        <v>8</v>
      </c>
      <c r="K91" s="4"/>
      <c r="L91" s="5"/>
      <c r="M91" s="27">
        <f t="shared" si="15"/>
        <v>2717707.600000001</v>
      </c>
      <c r="N91" s="27">
        <f t="shared" si="16"/>
        <v>24860.94</v>
      </c>
      <c r="O91" s="27">
        <f t="shared" si="17"/>
        <v>2970.3599999999969</v>
      </c>
      <c r="P91" s="27">
        <f t="shared" si="18"/>
        <v>21890.58</v>
      </c>
      <c r="Q91" s="28">
        <f t="shared" si="19"/>
        <v>2714737.2400000012</v>
      </c>
      <c r="R91" s="8"/>
      <c r="S91" s="29">
        <f t="shared" si="13"/>
        <v>0</v>
      </c>
      <c r="T91" s="29"/>
    </row>
    <row r="92" spans="1:20" x14ac:dyDescent="0.25">
      <c r="A92" s="8"/>
      <c r="B92" s="36"/>
      <c r="C92" s="8"/>
      <c r="D92" s="8"/>
      <c r="E92" s="8"/>
      <c r="F92" s="24">
        <f t="shared" si="11"/>
        <v>365</v>
      </c>
      <c r="G92" s="25">
        <v>88</v>
      </c>
      <c r="H92" s="26">
        <f t="shared" si="12"/>
        <v>47620</v>
      </c>
      <c r="I92" s="26">
        <f t="shared" si="14"/>
        <v>47651</v>
      </c>
      <c r="J92" s="25">
        <f t="shared" si="10"/>
        <v>8</v>
      </c>
      <c r="K92" s="4"/>
      <c r="L92" s="5"/>
      <c r="M92" s="27">
        <f t="shared" si="15"/>
        <v>2714737.2400000012</v>
      </c>
      <c r="N92" s="27">
        <f t="shared" si="16"/>
        <v>24860.94</v>
      </c>
      <c r="O92" s="27">
        <f t="shared" si="17"/>
        <v>2265.3999999999978</v>
      </c>
      <c r="P92" s="27">
        <f t="shared" si="18"/>
        <v>22595.54</v>
      </c>
      <c r="Q92" s="28">
        <f t="shared" si="19"/>
        <v>2712471.8400000012</v>
      </c>
      <c r="R92" s="8"/>
      <c r="S92" s="29">
        <f t="shared" si="13"/>
        <v>0</v>
      </c>
      <c r="T92" s="29"/>
    </row>
    <row r="93" spans="1:20" x14ac:dyDescent="0.25">
      <c r="A93" s="8"/>
      <c r="B93" s="36"/>
      <c r="C93" s="8"/>
      <c r="D93" s="8"/>
      <c r="E93" s="8"/>
      <c r="F93" s="24">
        <f t="shared" si="11"/>
        <v>365</v>
      </c>
      <c r="G93" s="25">
        <v>89</v>
      </c>
      <c r="H93" s="26">
        <f t="shared" si="12"/>
        <v>47651</v>
      </c>
      <c r="I93" s="26">
        <f t="shared" si="14"/>
        <v>47681</v>
      </c>
      <c r="J93" s="25">
        <f t="shared" si="10"/>
        <v>8</v>
      </c>
      <c r="K93" s="4"/>
      <c r="L93" s="5"/>
      <c r="M93" s="27">
        <f t="shared" si="15"/>
        <v>2712471.8400000012</v>
      </c>
      <c r="N93" s="27">
        <f t="shared" si="16"/>
        <v>24860.94</v>
      </c>
      <c r="O93" s="27">
        <f t="shared" si="17"/>
        <v>3012.5399999999972</v>
      </c>
      <c r="P93" s="27">
        <f t="shared" si="18"/>
        <v>21848.400000000001</v>
      </c>
      <c r="Q93" s="28">
        <f t="shared" si="19"/>
        <v>2709459.3000000012</v>
      </c>
      <c r="R93" s="8"/>
      <c r="S93" s="29">
        <f t="shared" si="13"/>
        <v>0</v>
      </c>
      <c r="T93" s="29"/>
    </row>
    <row r="94" spans="1:20" x14ac:dyDescent="0.25">
      <c r="A94" s="8"/>
      <c r="B94" s="36"/>
      <c r="C94" s="8"/>
      <c r="D94" s="8"/>
      <c r="E94" s="8"/>
      <c r="F94" s="24">
        <f t="shared" si="11"/>
        <v>365</v>
      </c>
      <c r="G94" s="25">
        <v>90</v>
      </c>
      <c r="H94" s="26">
        <f t="shared" si="12"/>
        <v>47681</v>
      </c>
      <c r="I94" s="26">
        <f t="shared" si="14"/>
        <v>47712</v>
      </c>
      <c r="J94" s="25">
        <f t="shared" si="10"/>
        <v>8</v>
      </c>
      <c r="K94" s="4"/>
      <c r="L94" s="5"/>
      <c r="M94" s="27">
        <f t="shared" si="15"/>
        <v>2709459.3000000012</v>
      </c>
      <c r="N94" s="27">
        <f t="shared" si="16"/>
        <v>24860.94</v>
      </c>
      <c r="O94" s="27">
        <f t="shared" si="17"/>
        <v>2309.3299999999981</v>
      </c>
      <c r="P94" s="27">
        <f t="shared" si="18"/>
        <v>22551.61</v>
      </c>
      <c r="Q94" s="28">
        <f t="shared" si="19"/>
        <v>2707149.9700000011</v>
      </c>
      <c r="R94" s="8"/>
      <c r="S94" s="29">
        <f t="shared" si="13"/>
        <v>0</v>
      </c>
      <c r="T94" s="29"/>
    </row>
    <row r="95" spans="1:20" x14ac:dyDescent="0.25">
      <c r="A95" s="8"/>
      <c r="B95" s="36"/>
      <c r="C95" s="8"/>
      <c r="D95" s="8"/>
      <c r="E95" s="8"/>
      <c r="F95" s="24">
        <f t="shared" si="11"/>
        <v>365</v>
      </c>
      <c r="G95" s="25">
        <v>91</v>
      </c>
      <c r="H95" s="26">
        <f t="shared" si="12"/>
        <v>47712</v>
      </c>
      <c r="I95" s="26">
        <f t="shared" si="14"/>
        <v>47743</v>
      </c>
      <c r="J95" s="25">
        <f t="shared" si="10"/>
        <v>8</v>
      </c>
      <c r="K95" s="4"/>
      <c r="L95" s="5"/>
      <c r="M95" s="27">
        <f t="shared" si="15"/>
        <v>2707149.9700000011</v>
      </c>
      <c r="N95" s="27">
        <f t="shared" si="16"/>
        <v>24860.94</v>
      </c>
      <c r="O95" s="27">
        <f t="shared" si="17"/>
        <v>2328.5499999999993</v>
      </c>
      <c r="P95" s="27">
        <f t="shared" si="18"/>
        <v>22532.39</v>
      </c>
      <c r="Q95" s="28">
        <f t="shared" si="19"/>
        <v>2704821.4200000013</v>
      </c>
      <c r="R95" s="8"/>
      <c r="S95" s="29">
        <f t="shared" si="13"/>
        <v>0</v>
      </c>
      <c r="T95" s="29"/>
    </row>
    <row r="96" spans="1:20" x14ac:dyDescent="0.25">
      <c r="A96" s="8"/>
      <c r="B96" s="36"/>
      <c r="C96" s="8"/>
      <c r="D96" s="8"/>
      <c r="E96" s="8"/>
      <c r="F96" s="24">
        <f t="shared" si="11"/>
        <v>365</v>
      </c>
      <c r="G96" s="25">
        <v>92</v>
      </c>
      <c r="H96" s="26">
        <f t="shared" si="12"/>
        <v>47743</v>
      </c>
      <c r="I96" s="26">
        <f t="shared" si="14"/>
        <v>47773</v>
      </c>
      <c r="J96" s="25">
        <f t="shared" si="10"/>
        <v>8</v>
      </c>
      <c r="K96" s="4"/>
      <c r="L96" s="5"/>
      <c r="M96" s="27">
        <f t="shared" si="15"/>
        <v>2704821.4200000013</v>
      </c>
      <c r="N96" s="27">
        <f t="shared" si="16"/>
        <v>24860.94</v>
      </c>
      <c r="O96" s="27">
        <f t="shared" si="17"/>
        <v>3074.16</v>
      </c>
      <c r="P96" s="27">
        <f t="shared" si="18"/>
        <v>21786.78</v>
      </c>
      <c r="Q96" s="28">
        <f t="shared" si="19"/>
        <v>2701747.2600000012</v>
      </c>
      <c r="R96" s="8"/>
      <c r="S96" s="29">
        <f t="shared" si="13"/>
        <v>0</v>
      </c>
      <c r="T96" s="29"/>
    </row>
    <row r="97" spans="1:20" x14ac:dyDescent="0.25">
      <c r="A97" s="8"/>
      <c r="B97" s="36"/>
      <c r="C97" s="8"/>
      <c r="D97" s="8"/>
      <c r="E97" s="8"/>
      <c r="F97" s="24">
        <f t="shared" si="11"/>
        <v>365</v>
      </c>
      <c r="G97" s="25">
        <v>93</v>
      </c>
      <c r="H97" s="26">
        <f t="shared" si="12"/>
        <v>47773</v>
      </c>
      <c r="I97" s="26">
        <f t="shared" si="14"/>
        <v>47804</v>
      </c>
      <c r="J97" s="25">
        <f t="shared" si="10"/>
        <v>8</v>
      </c>
      <c r="K97" s="4"/>
      <c r="L97" s="5"/>
      <c r="M97" s="27">
        <f t="shared" si="15"/>
        <v>2701747.2600000012</v>
      </c>
      <c r="N97" s="27">
        <f t="shared" si="16"/>
        <v>24860.94</v>
      </c>
      <c r="O97" s="27">
        <f t="shared" si="17"/>
        <v>2373.5200000000004</v>
      </c>
      <c r="P97" s="27">
        <f t="shared" si="18"/>
        <v>22487.42</v>
      </c>
      <c r="Q97" s="28">
        <f t="shared" si="19"/>
        <v>2699373.7400000012</v>
      </c>
      <c r="R97" s="8"/>
      <c r="S97" s="29">
        <f t="shared" si="13"/>
        <v>0</v>
      </c>
      <c r="T97" s="29"/>
    </row>
    <row r="98" spans="1:20" x14ac:dyDescent="0.25">
      <c r="A98" s="8"/>
      <c r="B98" s="36"/>
      <c r="C98" s="8"/>
      <c r="D98" s="8"/>
      <c r="E98" s="8"/>
      <c r="F98" s="24">
        <f t="shared" si="11"/>
        <v>365</v>
      </c>
      <c r="G98" s="25">
        <v>94</v>
      </c>
      <c r="H98" s="26">
        <f t="shared" si="12"/>
        <v>47804</v>
      </c>
      <c r="I98" s="26">
        <f t="shared" si="14"/>
        <v>47834</v>
      </c>
      <c r="J98" s="25">
        <f t="shared" si="10"/>
        <v>8</v>
      </c>
      <c r="K98" s="4"/>
      <c r="L98" s="5"/>
      <c r="M98" s="27">
        <f t="shared" si="15"/>
        <v>2699373.7400000012</v>
      </c>
      <c r="N98" s="27">
        <f t="shared" si="16"/>
        <v>24860.94</v>
      </c>
      <c r="O98" s="27">
        <f t="shared" si="17"/>
        <v>3118.0399999999972</v>
      </c>
      <c r="P98" s="27">
        <f t="shared" si="18"/>
        <v>21742.9</v>
      </c>
      <c r="Q98" s="28">
        <f t="shared" si="19"/>
        <v>2696255.7000000011</v>
      </c>
      <c r="R98" s="8"/>
      <c r="S98" s="29">
        <f t="shared" si="13"/>
        <v>0</v>
      </c>
      <c r="T98" s="29"/>
    </row>
    <row r="99" spans="1:20" x14ac:dyDescent="0.25">
      <c r="A99" s="8"/>
      <c r="B99" s="36"/>
      <c r="C99" s="8"/>
      <c r="D99" s="8"/>
      <c r="E99" s="8"/>
      <c r="F99" s="24">
        <f t="shared" si="11"/>
        <v>365</v>
      </c>
      <c r="G99" s="25">
        <v>95</v>
      </c>
      <c r="H99" s="26">
        <f t="shared" si="12"/>
        <v>47834</v>
      </c>
      <c r="I99" s="26">
        <f t="shared" si="14"/>
        <v>47865</v>
      </c>
      <c r="J99" s="25">
        <f t="shared" si="10"/>
        <v>8</v>
      </c>
      <c r="K99" s="4"/>
      <c r="L99" s="5"/>
      <c r="M99" s="27">
        <f t="shared" si="15"/>
        <v>2696255.7000000011</v>
      </c>
      <c r="N99" s="27">
        <f t="shared" si="16"/>
        <v>24860.94</v>
      </c>
      <c r="O99" s="27">
        <f t="shared" si="17"/>
        <v>2419.2299999999996</v>
      </c>
      <c r="P99" s="27">
        <f t="shared" si="18"/>
        <v>22441.71</v>
      </c>
      <c r="Q99" s="28">
        <f t="shared" si="19"/>
        <v>2693836.4700000011</v>
      </c>
      <c r="R99" s="8"/>
      <c r="S99" s="29">
        <f t="shared" si="13"/>
        <v>0</v>
      </c>
      <c r="T99" s="29"/>
    </row>
    <row r="100" spans="1:20" x14ac:dyDescent="0.25">
      <c r="A100" s="8"/>
      <c r="B100" s="36"/>
      <c r="C100" s="8"/>
      <c r="D100" s="8"/>
      <c r="E100" s="8"/>
      <c r="F100" s="24">
        <f t="shared" si="11"/>
        <v>365</v>
      </c>
      <c r="G100" s="25">
        <v>96</v>
      </c>
      <c r="H100" s="26">
        <f t="shared" si="12"/>
        <v>47865</v>
      </c>
      <c r="I100" s="26">
        <f t="shared" si="14"/>
        <v>47896</v>
      </c>
      <c r="J100" s="25">
        <f t="shared" si="10"/>
        <v>8</v>
      </c>
      <c r="K100" s="4"/>
      <c r="L100" s="5"/>
      <c r="M100" s="27">
        <f t="shared" si="15"/>
        <v>2693836.4700000011</v>
      </c>
      <c r="N100" s="27">
        <f t="shared" si="16"/>
        <v>24860.94</v>
      </c>
      <c r="O100" s="27">
        <f t="shared" si="17"/>
        <v>2439.3599999999969</v>
      </c>
      <c r="P100" s="27">
        <f t="shared" si="18"/>
        <v>22421.58</v>
      </c>
      <c r="Q100" s="28">
        <f t="shared" si="19"/>
        <v>2691397.1100000013</v>
      </c>
      <c r="R100" s="8"/>
      <c r="S100" s="29">
        <f t="shared" si="13"/>
        <v>0</v>
      </c>
      <c r="T100" s="29"/>
    </row>
    <row r="101" spans="1:20" x14ac:dyDescent="0.25">
      <c r="A101" s="8"/>
      <c r="B101" s="36"/>
      <c r="C101" s="8"/>
      <c r="D101" s="8"/>
      <c r="E101" s="8"/>
      <c r="F101" s="24">
        <f t="shared" si="11"/>
        <v>365</v>
      </c>
      <c r="G101" s="25">
        <v>97</v>
      </c>
      <c r="H101" s="26">
        <f t="shared" si="12"/>
        <v>47896</v>
      </c>
      <c r="I101" s="26">
        <f t="shared" si="14"/>
        <v>47924</v>
      </c>
      <c r="J101" s="25">
        <f t="shared" si="10"/>
        <v>9</v>
      </c>
      <c r="K101" s="4"/>
      <c r="L101" s="5"/>
      <c r="M101" s="27">
        <f t="shared" si="15"/>
        <v>2691397.1100000013</v>
      </c>
      <c r="N101" s="27">
        <f t="shared" si="16"/>
        <v>24860.94</v>
      </c>
      <c r="O101" s="27">
        <f t="shared" si="17"/>
        <v>4627.5299999999988</v>
      </c>
      <c r="P101" s="27">
        <f t="shared" si="18"/>
        <v>20233.41</v>
      </c>
      <c r="Q101" s="28">
        <f t="shared" si="19"/>
        <v>2686769.5800000015</v>
      </c>
      <c r="R101" s="8"/>
      <c r="S101" s="29">
        <f t="shared" si="13"/>
        <v>0</v>
      </c>
      <c r="T101" s="29"/>
    </row>
    <row r="102" spans="1:20" x14ac:dyDescent="0.25">
      <c r="A102" s="8"/>
      <c r="B102" s="36"/>
      <c r="C102" s="8"/>
      <c r="D102" s="8"/>
      <c r="E102" s="8"/>
      <c r="F102" s="24">
        <f t="shared" si="11"/>
        <v>365</v>
      </c>
      <c r="G102" s="25">
        <v>98</v>
      </c>
      <c r="H102" s="26">
        <f t="shared" si="12"/>
        <v>47924</v>
      </c>
      <c r="I102" s="26">
        <f t="shared" si="14"/>
        <v>47955</v>
      </c>
      <c r="J102" s="25">
        <f t="shared" si="10"/>
        <v>9</v>
      </c>
      <c r="K102" s="4"/>
      <c r="L102" s="5"/>
      <c r="M102" s="27">
        <f t="shared" si="15"/>
        <v>2686769.5800000015</v>
      </c>
      <c r="N102" s="27">
        <f t="shared" si="16"/>
        <v>24860.94</v>
      </c>
      <c r="O102" s="27">
        <f t="shared" si="17"/>
        <v>2498.1800000000003</v>
      </c>
      <c r="P102" s="27">
        <f t="shared" si="18"/>
        <v>22362.76</v>
      </c>
      <c r="Q102" s="28">
        <f t="shared" si="19"/>
        <v>2684271.4000000013</v>
      </c>
      <c r="R102" s="8"/>
      <c r="S102" s="29">
        <f t="shared" si="13"/>
        <v>0</v>
      </c>
      <c r="T102" s="29"/>
    </row>
    <row r="103" spans="1:20" x14ac:dyDescent="0.25">
      <c r="A103" s="8"/>
      <c r="B103" s="36"/>
      <c r="C103" s="8"/>
      <c r="D103" s="8"/>
      <c r="E103" s="8"/>
      <c r="F103" s="24">
        <f t="shared" si="11"/>
        <v>365</v>
      </c>
      <c r="G103" s="25">
        <v>99</v>
      </c>
      <c r="H103" s="26">
        <f t="shared" si="12"/>
        <v>47955</v>
      </c>
      <c r="I103" s="26">
        <f t="shared" si="14"/>
        <v>47985</v>
      </c>
      <c r="J103" s="25">
        <f t="shared" si="10"/>
        <v>9</v>
      </c>
      <c r="K103" s="4"/>
      <c r="L103" s="5"/>
      <c r="M103" s="27">
        <f t="shared" si="15"/>
        <v>2684271.4000000013</v>
      </c>
      <c r="N103" s="27">
        <f t="shared" si="16"/>
        <v>24860.94</v>
      </c>
      <c r="O103" s="27">
        <f t="shared" si="17"/>
        <v>3239.6899999999987</v>
      </c>
      <c r="P103" s="27">
        <f t="shared" si="18"/>
        <v>21621.25</v>
      </c>
      <c r="Q103" s="28">
        <f t="shared" si="19"/>
        <v>2681031.7100000014</v>
      </c>
      <c r="R103" s="8"/>
      <c r="S103" s="29">
        <f t="shared" si="13"/>
        <v>0</v>
      </c>
      <c r="T103" s="29"/>
    </row>
    <row r="104" spans="1:20" x14ac:dyDescent="0.25">
      <c r="A104" s="8"/>
      <c r="B104" s="36"/>
      <c r="C104" s="8"/>
      <c r="D104" s="8"/>
      <c r="E104" s="8"/>
      <c r="F104" s="24">
        <f t="shared" si="11"/>
        <v>365</v>
      </c>
      <c r="G104" s="25">
        <v>100</v>
      </c>
      <c r="H104" s="26">
        <f t="shared" si="12"/>
        <v>47985</v>
      </c>
      <c r="I104" s="26">
        <f t="shared" si="14"/>
        <v>48016</v>
      </c>
      <c r="J104" s="25">
        <f t="shared" si="10"/>
        <v>9</v>
      </c>
      <c r="K104" s="4"/>
      <c r="L104" s="5"/>
      <c r="M104" s="27">
        <f t="shared" si="15"/>
        <v>2681031.7100000014</v>
      </c>
      <c r="N104" s="27">
        <f t="shared" si="16"/>
        <v>24860.94</v>
      </c>
      <c r="O104" s="27">
        <f t="shared" si="17"/>
        <v>2545.9399999999987</v>
      </c>
      <c r="P104" s="27">
        <f t="shared" si="18"/>
        <v>22315</v>
      </c>
      <c r="Q104" s="28">
        <f t="shared" si="19"/>
        <v>2678485.7700000014</v>
      </c>
      <c r="R104" s="8"/>
      <c r="S104" s="29">
        <f t="shared" si="13"/>
        <v>0</v>
      </c>
      <c r="T104" s="29"/>
    </row>
    <row r="105" spans="1:20" x14ac:dyDescent="0.25">
      <c r="A105" s="8"/>
      <c r="B105" s="36"/>
      <c r="C105" s="8"/>
      <c r="D105" s="8"/>
      <c r="E105" s="8"/>
      <c r="F105" s="24">
        <f t="shared" si="11"/>
        <v>365</v>
      </c>
      <c r="G105" s="25">
        <v>101</v>
      </c>
      <c r="H105" s="26">
        <f t="shared" si="12"/>
        <v>48016</v>
      </c>
      <c r="I105" s="26">
        <f t="shared" si="14"/>
        <v>48046</v>
      </c>
      <c r="J105" s="25">
        <f t="shared" si="10"/>
        <v>9</v>
      </c>
      <c r="K105" s="4"/>
      <c r="L105" s="5"/>
      <c r="M105" s="27">
        <f t="shared" si="15"/>
        <v>2678485.7700000014</v>
      </c>
      <c r="N105" s="27">
        <f t="shared" si="16"/>
        <v>24860.94</v>
      </c>
      <c r="O105" s="27">
        <f t="shared" si="17"/>
        <v>3286.2899999999972</v>
      </c>
      <c r="P105" s="27">
        <f t="shared" si="18"/>
        <v>21574.65</v>
      </c>
      <c r="Q105" s="28">
        <f t="shared" si="19"/>
        <v>2675199.4800000014</v>
      </c>
      <c r="R105" s="8"/>
      <c r="S105" s="29">
        <f t="shared" si="13"/>
        <v>0</v>
      </c>
      <c r="T105" s="29"/>
    </row>
    <row r="106" spans="1:20" x14ac:dyDescent="0.25">
      <c r="A106" s="8"/>
      <c r="B106" s="36"/>
      <c r="C106" s="8"/>
      <c r="D106" s="8"/>
      <c r="E106" s="8"/>
      <c r="F106" s="24">
        <f t="shared" si="11"/>
        <v>365</v>
      </c>
      <c r="G106" s="25">
        <v>102</v>
      </c>
      <c r="H106" s="26">
        <f t="shared" si="12"/>
        <v>48046</v>
      </c>
      <c r="I106" s="26">
        <f t="shared" si="14"/>
        <v>48077</v>
      </c>
      <c r="J106" s="25">
        <f t="shared" si="10"/>
        <v>9</v>
      </c>
      <c r="K106" s="4"/>
      <c r="L106" s="5"/>
      <c r="M106" s="27">
        <f t="shared" si="15"/>
        <v>2675199.4800000014</v>
      </c>
      <c r="N106" s="27">
        <f t="shared" si="16"/>
        <v>24860.94</v>
      </c>
      <c r="O106" s="27">
        <f t="shared" si="17"/>
        <v>2594.489999999998</v>
      </c>
      <c r="P106" s="27">
        <f t="shared" si="18"/>
        <v>22266.45</v>
      </c>
      <c r="Q106" s="28">
        <f t="shared" si="19"/>
        <v>2672604.9900000012</v>
      </c>
      <c r="R106" s="8"/>
      <c r="S106" s="29">
        <f t="shared" si="13"/>
        <v>0</v>
      </c>
      <c r="T106" s="29"/>
    </row>
    <row r="107" spans="1:20" x14ac:dyDescent="0.25">
      <c r="A107" s="8"/>
      <c r="B107" s="36"/>
      <c r="C107" s="8"/>
      <c r="D107" s="8"/>
      <c r="E107" s="8"/>
      <c r="F107" s="24">
        <f t="shared" si="11"/>
        <v>365</v>
      </c>
      <c r="G107" s="25">
        <v>103</v>
      </c>
      <c r="H107" s="26">
        <f t="shared" si="12"/>
        <v>48077</v>
      </c>
      <c r="I107" s="26">
        <f t="shared" si="14"/>
        <v>48108</v>
      </c>
      <c r="J107" s="25">
        <f t="shared" si="10"/>
        <v>9</v>
      </c>
      <c r="K107" s="4"/>
      <c r="L107" s="5"/>
      <c r="M107" s="27">
        <f t="shared" si="15"/>
        <v>2672604.9900000012</v>
      </c>
      <c r="N107" s="27">
        <f t="shared" si="16"/>
        <v>24860.94</v>
      </c>
      <c r="O107" s="27">
        <f t="shared" si="17"/>
        <v>2616.0799999999981</v>
      </c>
      <c r="P107" s="27">
        <f t="shared" si="18"/>
        <v>22244.86</v>
      </c>
      <c r="Q107" s="28">
        <f t="shared" si="19"/>
        <v>2669988.9100000011</v>
      </c>
      <c r="R107" s="8"/>
      <c r="S107" s="29">
        <f t="shared" si="13"/>
        <v>0</v>
      </c>
      <c r="T107" s="29"/>
    </row>
    <row r="108" spans="1:20" x14ac:dyDescent="0.25">
      <c r="A108" s="8"/>
      <c r="B108" s="36"/>
      <c r="C108" s="8"/>
      <c r="D108" s="8"/>
      <c r="E108" s="8"/>
      <c r="F108" s="24">
        <f t="shared" si="11"/>
        <v>365</v>
      </c>
      <c r="G108" s="25">
        <v>104</v>
      </c>
      <c r="H108" s="26">
        <f t="shared" si="12"/>
        <v>48108</v>
      </c>
      <c r="I108" s="26">
        <f t="shared" si="14"/>
        <v>48138</v>
      </c>
      <c r="J108" s="25">
        <f t="shared" si="10"/>
        <v>9</v>
      </c>
      <c r="K108" s="4"/>
      <c r="L108" s="5"/>
      <c r="M108" s="27">
        <f t="shared" si="15"/>
        <v>2669988.9100000011</v>
      </c>
      <c r="N108" s="27">
        <f t="shared" si="16"/>
        <v>24860.94</v>
      </c>
      <c r="O108" s="27">
        <f t="shared" si="17"/>
        <v>3354.7299999999996</v>
      </c>
      <c r="P108" s="27">
        <f t="shared" si="18"/>
        <v>21506.21</v>
      </c>
      <c r="Q108" s="28">
        <f t="shared" si="19"/>
        <v>2666634.1800000011</v>
      </c>
      <c r="R108" s="8"/>
      <c r="S108" s="29">
        <f t="shared" si="13"/>
        <v>0</v>
      </c>
      <c r="T108" s="29"/>
    </row>
    <row r="109" spans="1:20" x14ac:dyDescent="0.25">
      <c r="A109" s="8"/>
      <c r="B109" s="36"/>
      <c r="C109" s="8"/>
      <c r="D109" s="8"/>
      <c r="E109" s="8"/>
      <c r="F109" s="24">
        <f t="shared" si="11"/>
        <v>365</v>
      </c>
      <c r="G109" s="25">
        <v>105</v>
      </c>
      <c r="H109" s="26">
        <f t="shared" si="12"/>
        <v>48138</v>
      </c>
      <c r="I109" s="26">
        <f t="shared" si="14"/>
        <v>48169</v>
      </c>
      <c r="J109" s="25">
        <f t="shared" si="10"/>
        <v>9</v>
      </c>
      <c r="K109" s="4"/>
      <c r="L109" s="5"/>
      <c r="M109" s="27">
        <f t="shared" si="15"/>
        <v>2666634.1800000011</v>
      </c>
      <c r="N109" s="27">
        <f t="shared" si="16"/>
        <v>24860.94</v>
      </c>
      <c r="O109" s="27">
        <f t="shared" si="17"/>
        <v>2665.7799999999988</v>
      </c>
      <c r="P109" s="27">
        <f t="shared" si="18"/>
        <v>22195.16</v>
      </c>
      <c r="Q109" s="28">
        <f t="shared" si="19"/>
        <v>2663968.4000000013</v>
      </c>
      <c r="R109" s="8"/>
      <c r="S109" s="29">
        <f t="shared" si="13"/>
        <v>0</v>
      </c>
      <c r="T109" s="29"/>
    </row>
    <row r="110" spans="1:20" x14ac:dyDescent="0.25">
      <c r="A110" s="8"/>
      <c r="B110" s="36"/>
      <c r="C110" s="8"/>
      <c r="D110" s="8"/>
      <c r="E110" s="8"/>
      <c r="F110" s="24">
        <f t="shared" si="11"/>
        <v>365</v>
      </c>
      <c r="G110" s="25">
        <v>106</v>
      </c>
      <c r="H110" s="26">
        <f t="shared" si="12"/>
        <v>48169</v>
      </c>
      <c r="I110" s="26">
        <f t="shared" si="14"/>
        <v>48199</v>
      </c>
      <c r="J110" s="25">
        <f t="shared" si="10"/>
        <v>9</v>
      </c>
      <c r="K110" s="4"/>
      <c r="L110" s="5"/>
      <c r="M110" s="27">
        <f t="shared" si="15"/>
        <v>2663968.4000000013</v>
      </c>
      <c r="N110" s="27">
        <f t="shared" si="16"/>
        <v>24860.94</v>
      </c>
      <c r="O110" s="27">
        <f t="shared" si="17"/>
        <v>3403.2199999999975</v>
      </c>
      <c r="P110" s="27">
        <f t="shared" si="18"/>
        <v>21457.72</v>
      </c>
      <c r="Q110" s="28">
        <f t="shared" si="19"/>
        <v>2660565.1800000011</v>
      </c>
      <c r="R110" s="8"/>
      <c r="S110" s="29">
        <f t="shared" si="13"/>
        <v>0</v>
      </c>
      <c r="T110" s="29"/>
    </row>
    <row r="111" spans="1:20" x14ac:dyDescent="0.25">
      <c r="A111" s="8"/>
      <c r="B111" s="36"/>
      <c r="C111" s="8"/>
      <c r="D111" s="8"/>
      <c r="E111" s="8"/>
      <c r="F111" s="24">
        <f t="shared" si="11"/>
        <v>366</v>
      </c>
      <c r="G111" s="25">
        <v>107</v>
      </c>
      <c r="H111" s="26">
        <f t="shared" si="12"/>
        <v>48199</v>
      </c>
      <c r="I111" s="26">
        <f t="shared" si="14"/>
        <v>48230</v>
      </c>
      <c r="J111" s="25">
        <f t="shared" si="10"/>
        <v>9</v>
      </c>
      <c r="K111" s="4"/>
      <c r="L111" s="5"/>
      <c r="M111" s="27">
        <f t="shared" si="15"/>
        <v>2660565.1800000011</v>
      </c>
      <c r="N111" s="27">
        <f t="shared" si="16"/>
        <v>24860.94</v>
      </c>
      <c r="O111" s="27">
        <f t="shared" si="17"/>
        <v>2776.7999999999993</v>
      </c>
      <c r="P111" s="27">
        <f t="shared" si="18"/>
        <v>22084.14</v>
      </c>
      <c r="Q111" s="28">
        <f t="shared" si="19"/>
        <v>2657788.3800000013</v>
      </c>
      <c r="R111" s="8"/>
      <c r="S111" s="29">
        <f t="shared" si="13"/>
        <v>0</v>
      </c>
      <c r="T111" s="29"/>
    </row>
    <row r="112" spans="1:20" x14ac:dyDescent="0.25">
      <c r="A112" s="8"/>
      <c r="B112" s="36"/>
      <c r="C112" s="8"/>
      <c r="D112" s="8"/>
      <c r="E112" s="8"/>
      <c r="F112" s="24">
        <f t="shared" si="11"/>
        <v>366</v>
      </c>
      <c r="G112" s="25">
        <v>108</v>
      </c>
      <c r="H112" s="26">
        <f t="shared" si="12"/>
        <v>48230</v>
      </c>
      <c r="I112" s="26">
        <f t="shared" si="14"/>
        <v>48261</v>
      </c>
      <c r="J112" s="25">
        <f t="shared" si="10"/>
        <v>9</v>
      </c>
      <c r="K112" s="4"/>
      <c r="L112" s="5"/>
      <c r="M112" s="27">
        <f t="shared" si="15"/>
        <v>2657788.3800000013</v>
      </c>
      <c r="N112" s="27">
        <f t="shared" si="16"/>
        <v>24860.94</v>
      </c>
      <c r="O112" s="27">
        <f t="shared" si="17"/>
        <v>2799.84</v>
      </c>
      <c r="P112" s="27">
        <f t="shared" si="18"/>
        <v>22061.1</v>
      </c>
      <c r="Q112" s="28">
        <f t="shared" si="19"/>
        <v>2654988.5400000014</v>
      </c>
      <c r="R112" s="8"/>
      <c r="S112" s="29">
        <f t="shared" si="13"/>
        <v>0</v>
      </c>
      <c r="T112" s="29"/>
    </row>
    <row r="113" spans="1:20" x14ac:dyDescent="0.25">
      <c r="A113" s="8"/>
      <c r="B113" s="36"/>
      <c r="C113" s="8"/>
      <c r="D113" s="8"/>
      <c r="E113" s="8"/>
      <c r="F113" s="24">
        <f t="shared" si="11"/>
        <v>366</v>
      </c>
      <c r="G113" s="25">
        <v>109</v>
      </c>
      <c r="H113" s="26">
        <f t="shared" si="12"/>
        <v>48261</v>
      </c>
      <c r="I113" s="26">
        <f t="shared" si="14"/>
        <v>48290</v>
      </c>
      <c r="J113" s="25">
        <f t="shared" si="10"/>
        <v>10</v>
      </c>
      <c r="K113" s="4"/>
      <c r="L113" s="5"/>
      <c r="M113" s="27">
        <f t="shared" si="15"/>
        <v>2654988.5400000014</v>
      </c>
      <c r="N113" s="27">
        <f t="shared" si="16"/>
        <v>24860.94</v>
      </c>
      <c r="O113" s="27">
        <f t="shared" si="17"/>
        <v>4244.8799999999974</v>
      </c>
      <c r="P113" s="27">
        <f t="shared" si="18"/>
        <v>20616.060000000001</v>
      </c>
      <c r="Q113" s="28">
        <f t="shared" si="19"/>
        <v>2650743.6600000015</v>
      </c>
      <c r="R113" s="8"/>
      <c r="S113" s="29">
        <f t="shared" si="13"/>
        <v>0</v>
      </c>
      <c r="T113" s="29"/>
    </row>
    <row r="114" spans="1:20" x14ac:dyDescent="0.25">
      <c r="A114" s="8"/>
      <c r="B114" s="36"/>
      <c r="C114" s="8"/>
      <c r="D114" s="8"/>
      <c r="E114" s="8"/>
      <c r="F114" s="24">
        <f t="shared" si="11"/>
        <v>366</v>
      </c>
      <c r="G114" s="25">
        <v>110</v>
      </c>
      <c r="H114" s="26">
        <f t="shared" si="12"/>
        <v>48290</v>
      </c>
      <c r="I114" s="26">
        <f t="shared" si="14"/>
        <v>48321</v>
      </c>
      <c r="J114" s="25">
        <f t="shared" si="10"/>
        <v>10</v>
      </c>
      <c r="K114" s="4"/>
      <c r="L114" s="5"/>
      <c r="M114" s="27">
        <f t="shared" si="15"/>
        <v>2650743.6600000015</v>
      </c>
      <c r="N114" s="27">
        <f t="shared" si="16"/>
        <v>24860.94</v>
      </c>
      <c r="O114" s="27">
        <f t="shared" si="17"/>
        <v>2858.3199999999997</v>
      </c>
      <c r="P114" s="27">
        <f t="shared" si="18"/>
        <v>22002.62</v>
      </c>
      <c r="Q114" s="28">
        <f t="shared" si="19"/>
        <v>2647885.3400000017</v>
      </c>
      <c r="R114" s="8"/>
      <c r="S114" s="29">
        <f t="shared" si="13"/>
        <v>0</v>
      </c>
      <c r="T114" s="29"/>
    </row>
    <row r="115" spans="1:20" x14ac:dyDescent="0.25">
      <c r="A115" s="8"/>
      <c r="B115" s="36"/>
      <c r="C115" s="8"/>
      <c r="D115" s="8"/>
      <c r="E115" s="8"/>
      <c r="F115" s="24">
        <f t="shared" si="11"/>
        <v>366</v>
      </c>
      <c r="G115" s="25">
        <v>111</v>
      </c>
      <c r="H115" s="26">
        <f t="shared" si="12"/>
        <v>48321</v>
      </c>
      <c r="I115" s="26">
        <f t="shared" si="14"/>
        <v>48351</v>
      </c>
      <c r="J115" s="25">
        <f t="shared" si="10"/>
        <v>10</v>
      </c>
      <c r="K115" s="4"/>
      <c r="L115" s="5"/>
      <c r="M115" s="27">
        <f t="shared" si="15"/>
        <v>2647885.3400000017</v>
      </c>
      <c r="N115" s="27">
        <f t="shared" si="16"/>
        <v>24860.94</v>
      </c>
      <c r="O115" s="27">
        <f t="shared" si="17"/>
        <v>3591.0399999999972</v>
      </c>
      <c r="P115" s="27">
        <f t="shared" si="18"/>
        <v>21269.9</v>
      </c>
      <c r="Q115" s="28">
        <f t="shared" si="19"/>
        <v>2644294.3000000017</v>
      </c>
      <c r="R115" s="8"/>
      <c r="S115" s="29">
        <f t="shared" si="13"/>
        <v>0</v>
      </c>
      <c r="T115" s="29"/>
    </row>
    <row r="116" spans="1:20" x14ac:dyDescent="0.25">
      <c r="A116" s="8"/>
      <c r="B116" s="36"/>
      <c r="C116" s="8"/>
      <c r="D116" s="8"/>
      <c r="E116" s="8"/>
      <c r="F116" s="24">
        <f t="shared" si="11"/>
        <v>366</v>
      </c>
      <c r="G116" s="25">
        <v>112</v>
      </c>
      <c r="H116" s="26">
        <f t="shared" si="12"/>
        <v>48351</v>
      </c>
      <c r="I116" s="26">
        <f t="shared" si="14"/>
        <v>48382</v>
      </c>
      <c r="J116" s="25">
        <f t="shared" si="10"/>
        <v>10</v>
      </c>
      <c r="K116" s="4"/>
      <c r="L116" s="5"/>
      <c r="M116" s="27">
        <f t="shared" si="15"/>
        <v>2644294.3000000017</v>
      </c>
      <c r="N116" s="27">
        <f t="shared" si="16"/>
        <v>24860.94</v>
      </c>
      <c r="O116" s="27">
        <f t="shared" si="17"/>
        <v>2911.8499999999985</v>
      </c>
      <c r="P116" s="27">
        <f t="shared" si="18"/>
        <v>21949.09</v>
      </c>
      <c r="Q116" s="28">
        <f t="shared" si="19"/>
        <v>2641382.4500000016</v>
      </c>
      <c r="R116" s="8"/>
      <c r="S116" s="29">
        <f t="shared" si="13"/>
        <v>0</v>
      </c>
      <c r="T116" s="29"/>
    </row>
    <row r="117" spans="1:20" x14ac:dyDescent="0.25">
      <c r="A117" s="8"/>
      <c r="B117" s="36"/>
      <c r="C117" s="8"/>
      <c r="D117" s="8"/>
      <c r="E117" s="8"/>
      <c r="F117" s="24">
        <f t="shared" si="11"/>
        <v>366</v>
      </c>
      <c r="G117" s="25">
        <v>113</v>
      </c>
      <c r="H117" s="26">
        <f t="shared" si="12"/>
        <v>48382</v>
      </c>
      <c r="I117" s="26">
        <f t="shared" si="14"/>
        <v>48412</v>
      </c>
      <c r="J117" s="25">
        <f t="shared" si="10"/>
        <v>10</v>
      </c>
      <c r="K117" s="4"/>
      <c r="L117" s="5"/>
      <c r="M117" s="27">
        <f t="shared" si="15"/>
        <v>2641382.4500000016</v>
      </c>
      <c r="N117" s="27">
        <f t="shared" si="16"/>
        <v>24860.94</v>
      </c>
      <c r="O117" s="27">
        <f t="shared" si="17"/>
        <v>3643.2799999999988</v>
      </c>
      <c r="P117" s="27">
        <f t="shared" si="18"/>
        <v>21217.66</v>
      </c>
      <c r="Q117" s="28">
        <f t="shared" si="19"/>
        <v>2637739.1700000018</v>
      </c>
      <c r="R117" s="8"/>
      <c r="S117" s="29">
        <f t="shared" si="13"/>
        <v>0</v>
      </c>
      <c r="T117" s="29"/>
    </row>
    <row r="118" spans="1:20" x14ac:dyDescent="0.25">
      <c r="A118" s="8"/>
      <c r="B118" s="36"/>
      <c r="C118" s="8"/>
      <c r="D118" s="8"/>
      <c r="E118" s="8"/>
      <c r="F118" s="24">
        <f t="shared" si="11"/>
        <v>366</v>
      </c>
      <c r="G118" s="25">
        <v>114</v>
      </c>
      <c r="H118" s="26">
        <f t="shared" si="12"/>
        <v>48412</v>
      </c>
      <c r="I118" s="26">
        <f t="shared" si="14"/>
        <v>48443</v>
      </c>
      <c r="J118" s="25">
        <f t="shared" si="10"/>
        <v>10</v>
      </c>
      <c r="K118" s="4"/>
      <c r="L118" s="5"/>
      <c r="M118" s="27">
        <f t="shared" si="15"/>
        <v>2637739.1700000018</v>
      </c>
      <c r="N118" s="27">
        <f t="shared" si="16"/>
        <v>24860.94</v>
      </c>
      <c r="O118" s="27">
        <f t="shared" si="17"/>
        <v>2966.2599999999984</v>
      </c>
      <c r="P118" s="27">
        <f t="shared" si="18"/>
        <v>21894.68</v>
      </c>
      <c r="Q118" s="28">
        <f t="shared" si="19"/>
        <v>2634772.910000002</v>
      </c>
      <c r="R118" s="8"/>
      <c r="S118" s="29">
        <f t="shared" si="13"/>
        <v>0</v>
      </c>
      <c r="T118" s="29"/>
    </row>
    <row r="119" spans="1:20" x14ac:dyDescent="0.25">
      <c r="A119" s="8"/>
      <c r="B119" s="36"/>
      <c r="C119" s="8"/>
      <c r="D119" s="8"/>
      <c r="E119" s="8"/>
      <c r="F119" s="24">
        <f t="shared" si="11"/>
        <v>366</v>
      </c>
      <c r="G119" s="25">
        <v>115</v>
      </c>
      <c r="H119" s="26">
        <f t="shared" si="12"/>
        <v>48443</v>
      </c>
      <c r="I119" s="26">
        <f t="shared" si="14"/>
        <v>48474</v>
      </c>
      <c r="J119" s="25">
        <f t="shared" si="10"/>
        <v>10</v>
      </c>
      <c r="K119" s="4"/>
      <c r="L119" s="5"/>
      <c r="M119" s="27">
        <f t="shared" si="15"/>
        <v>2634772.910000002</v>
      </c>
      <c r="N119" s="27">
        <f t="shared" si="16"/>
        <v>24860.94</v>
      </c>
      <c r="O119" s="27">
        <f t="shared" si="17"/>
        <v>2990.8899999999994</v>
      </c>
      <c r="P119" s="27">
        <f t="shared" si="18"/>
        <v>21870.05</v>
      </c>
      <c r="Q119" s="28">
        <f t="shared" si="19"/>
        <v>2631782.0200000019</v>
      </c>
      <c r="R119" s="8"/>
      <c r="S119" s="29">
        <f t="shared" si="13"/>
        <v>0</v>
      </c>
      <c r="T119" s="29"/>
    </row>
    <row r="120" spans="1:20" x14ac:dyDescent="0.25">
      <c r="A120" s="8"/>
      <c r="B120" s="36"/>
      <c r="C120" s="8"/>
      <c r="D120" s="8"/>
      <c r="E120" s="8"/>
      <c r="F120" s="24">
        <f t="shared" si="11"/>
        <v>366</v>
      </c>
      <c r="G120" s="25">
        <v>116</v>
      </c>
      <c r="H120" s="26">
        <f t="shared" si="12"/>
        <v>48474</v>
      </c>
      <c r="I120" s="26">
        <f t="shared" si="14"/>
        <v>48504</v>
      </c>
      <c r="J120" s="25">
        <f t="shared" si="10"/>
        <v>10</v>
      </c>
      <c r="K120" s="4"/>
      <c r="L120" s="5"/>
      <c r="M120" s="27">
        <f t="shared" si="15"/>
        <v>2631782.0200000019</v>
      </c>
      <c r="N120" s="27">
        <f t="shared" si="16"/>
        <v>24860.94</v>
      </c>
      <c r="O120" s="27">
        <f t="shared" si="17"/>
        <v>3720.3999999999978</v>
      </c>
      <c r="P120" s="27">
        <f t="shared" si="18"/>
        <v>21140.54</v>
      </c>
      <c r="Q120" s="28">
        <f t="shared" si="19"/>
        <v>2628061.620000002</v>
      </c>
      <c r="R120" s="8"/>
      <c r="S120" s="29">
        <f t="shared" si="13"/>
        <v>0</v>
      </c>
      <c r="T120" s="29"/>
    </row>
    <row r="121" spans="1:20" x14ac:dyDescent="0.25">
      <c r="A121" s="8"/>
      <c r="B121" s="36"/>
      <c r="C121" s="8"/>
      <c r="D121" s="8"/>
      <c r="E121" s="8"/>
      <c r="F121" s="24">
        <f t="shared" si="11"/>
        <v>366</v>
      </c>
      <c r="G121" s="25">
        <v>117</v>
      </c>
      <c r="H121" s="26">
        <f t="shared" si="12"/>
        <v>48504</v>
      </c>
      <c r="I121" s="26">
        <f t="shared" si="14"/>
        <v>48535</v>
      </c>
      <c r="J121" s="25">
        <f t="shared" si="10"/>
        <v>10</v>
      </c>
      <c r="K121" s="4"/>
      <c r="L121" s="5"/>
      <c r="M121" s="27">
        <f t="shared" si="15"/>
        <v>2628061.620000002</v>
      </c>
      <c r="N121" s="27">
        <f t="shared" si="16"/>
        <v>24860.94</v>
      </c>
      <c r="O121" s="27">
        <f t="shared" si="17"/>
        <v>3046.59</v>
      </c>
      <c r="P121" s="27">
        <f t="shared" si="18"/>
        <v>21814.35</v>
      </c>
      <c r="Q121" s="28">
        <f t="shared" si="19"/>
        <v>2625015.0300000021</v>
      </c>
      <c r="R121" s="8"/>
      <c r="S121" s="29">
        <f t="shared" si="13"/>
        <v>0</v>
      </c>
      <c r="T121" s="29"/>
    </row>
    <row r="122" spans="1:20" x14ac:dyDescent="0.25">
      <c r="A122" s="8"/>
      <c r="B122" s="36"/>
      <c r="C122" s="8"/>
      <c r="D122" s="8"/>
      <c r="E122" s="8"/>
      <c r="F122" s="24">
        <f t="shared" si="11"/>
        <v>366</v>
      </c>
      <c r="G122" s="25">
        <v>118</v>
      </c>
      <c r="H122" s="26">
        <f t="shared" si="12"/>
        <v>48535</v>
      </c>
      <c r="I122" s="26">
        <f t="shared" si="14"/>
        <v>48565</v>
      </c>
      <c r="J122" s="25">
        <f t="shared" si="10"/>
        <v>10</v>
      </c>
      <c r="K122" s="4"/>
      <c r="L122" s="5"/>
      <c r="M122" s="27">
        <f t="shared" si="15"/>
        <v>2625015.0300000021</v>
      </c>
      <c r="N122" s="27">
        <f t="shared" si="16"/>
        <v>24860.94</v>
      </c>
      <c r="O122" s="27">
        <f t="shared" si="17"/>
        <v>3774.75</v>
      </c>
      <c r="P122" s="27">
        <f t="shared" si="18"/>
        <v>21086.19</v>
      </c>
      <c r="Q122" s="28">
        <f t="shared" si="19"/>
        <v>2621240.2800000021</v>
      </c>
      <c r="R122" s="8"/>
      <c r="S122" s="29">
        <f t="shared" si="13"/>
        <v>0</v>
      </c>
      <c r="T122" s="29"/>
    </row>
    <row r="123" spans="1:20" x14ac:dyDescent="0.25">
      <c r="A123" s="8"/>
      <c r="B123" s="36"/>
      <c r="C123" s="8"/>
      <c r="D123" s="8"/>
      <c r="E123" s="8"/>
      <c r="F123" s="24">
        <f t="shared" si="11"/>
        <v>365</v>
      </c>
      <c r="G123" s="25">
        <v>119</v>
      </c>
      <c r="H123" s="26">
        <f t="shared" si="12"/>
        <v>48565</v>
      </c>
      <c r="I123" s="26">
        <f t="shared" si="14"/>
        <v>48596</v>
      </c>
      <c r="J123" s="25">
        <f t="shared" si="10"/>
        <v>10</v>
      </c>
      <c r="K123" s="4"/>
      <c r="L123" s="5"/>
      <c r="M123" s="27">
        <f t="shared" si="15"/>
        <v>2621240.2800000021</v>
      </c>
      <c r="N123" s="27">
        <f t="shared" si="16"/>
        <v>24860.94</v>
      </c>
      <c r="O123" s="27">
        <f t="shared" si="17"/>
        <v>3043.5999999999985</v>
      </c>
      <c r="P123" s="27">
        <f t="shared" si="18"/>
        <v>21817.34</v>
      </c>
      <c r="Q123" s="28">
        <f t="shared" si="19"/>
        <v>2618196.680000002</v>
      </c>
      <c r="R123" s="8"/>
      <c r="S123" s="29">
        <f t="shared" si="13"/>
        <v>0</v>
      </c>
      <c r="T123" s="29"/>
    </row>
    <row r="124" spans="1:20" x14ac:dyDescent="0.25">
      <c r="A124" s="8"/>
      <c r="B124" s="36"/>
      <c r="C124" s="8"/>
      <c r="D124" s="8"/>
      <c r="E124" s="8"/>
      <c r="F124" s="24">
        <f t="shared" si="11"/>
        <v>365</v>
      </c>
      <c r="G124" s="25">
        <v>120</v>
      </c>
      <c r="H124" s="26">
        <f t="shared" si="12"/>
        <v>48596</v>
      </c>
      <c r="I124" s="26">
        <f t="shared" si="14"/>
        <v>48627</v>
      </c>
      <c r="J124" s="25">
        <f t="shared" si="10"/>
        <v>10</v>
      </c>
      <c r="K124" s="4"/>
      <c r="L124" s="5"/>
      <c r="M124" s="27">
        <f t="shared" si="15"/>
        <v>2618196.680000002</v>
      </c>
      <c r="N124" s="27">
        <f t="shared" si="16"/>
        <v>24860.94</v>
      </c>
      <c r="O124" s="27">
        <f t="shared" si="17"/>
        <v>3068.9399999999987</v>
      </c>
      <c r="P124" s="27">
        <f t="shared" si="18"/>
        <v>21792</v>
      </c>
      <c r="Q124" s="28">
        <f t="shared" si="19"/>
        <v>2615127.7400000021</v>
      </c>
      <c r="R124" s="8"/>
      <c r="S124" s="29">
        <f t="shared" si="13"/>
        <v>0</v>
      </c>
      <c r="T124" s="29"/>
    </row>
    <row r="125" spans="1:20" x14ac:dyDescent="0.25">
      <c r="A125" s="8"/>
      <c r="B125" s="36"/>
      <c r="C125" s="8"/>
      <c r="D125" s="8"/>
      <c r="E125" s="8"/>
      <c r="F125" s="24">
        <f t="shared" si="11"/>
        <v>365</v>
      </c>
      <c r="G125" s="25">
        <v>121</v>
      </c>
      <c r="H125" s="26">
        <f t="shared" si="12"/>
        <v>48627</v>
      </c>
      <c r="I125" s="26">
        <f t="shared" si="14"/>
        <v>48655</v>
      </c>
      <c r="J125" s="25">
        <f t="shared" si="10"/>
        <v>11</v>
      </c>
      <c r="K125" s="4"/>
      <c r="L125" s="5"/>
      <c r="M125" s="27">
        <f t="shared" si="15"/>
        <v>2615127.7400000021</v>
      </c>
      <c r="N125" s="27">
        <f t="shared" si="16"/>
        <v>24860.94</v>
      </c>
      <c r="O125" s="27">
        <f t="shared" si="17"/>
        <v>5200.91</v>
      </c>
      <c r="P125" s="27">
        <f t="shared" si="18"/>
        <v>19660.03</v>
      </c>
      <c r="Q125" s="28">
        <f t="shared" si="19"/>
        <v>2609926.8300000019</v>
      </c>
      <c r="R125" s="8"/>
      <c r="S125" s="29">
        <f t="shared" si="13"/>
        <v>0</v>
      </c>
      <c r="T125" s="29"/>
    </row>
    <row r="126" spans="1:20" x14ac:dyDescent="0.25">
      <c r="A126" s="8"/>
      <c r="B126" s="36"/>
      <c r="C126" s="8"/>
      <c r="D126" s="8"/>
      <c r="E126" s="8"/>
      <c r="F126" s="24">
        <f t="shared" si="11"/>
        <v>365</v>
      </c>
      <c r="G126" s="25">
        <v>122</v>
      </c>
      <c r="H126" s="26">
        <f t="shared" si="12"/>
        <v>48655</v>
      </c>
      <c r="I126" s="26">
        <f t="shared" si="14"/>
        <v>48686</v>
      </c>
      <c r="J126" s="25">
        <f t="shared" si="10"/>
        <v>11</v>
      </c>
      <c r="K126" s="4"/>
      <c r="L126" s="5"/>
      <c r="M126" s="27">
        <f t="shared" si="15"/>
        <v>2609926.8300000019</v>
      </c>
      <c r="N126" s="27">
        <f t="shared" si="16"/>
        <v>24860.94</v>
      </c>
      <c r="O126" s="27">
        <f t="shared" si="17"/>
        <v>3137.7700000000004</v>
      </c>
      <c r="P126" s="27">
        <f t="shared" si="18"/>
        <v>21723.17</v>
      </c>
      <c r="Q126" s="28">
        <f t="shared" si="19"/>
        <v>2606789.0600000019</v>
      </c>
      <c r="R126" s="8"/>
      <c r="S126" s="29">
        <f t="shared" si="13"/>
        <v>0</v>
      </c>
      <c r="T126" s="29"/>
    </row>
    <row r="127" spans="1:20" x14ac:dyDescent="0.25">
      <c r="A127" s="8"/>
      <c r="B127" s="36"/>
      <c r="C127" s="8"/>
      <c r="D127" s="8"/>
      <c r="E127" s="8"/>
      <c r="F127" s="24">
        <f t="shared" si="11"/>
        <v>365</v>
      </c>
      <c r="G127" s="25">
        <v>123</v>
      </c>
      <c r="H127" s="26">
        <f t="shared" si="12"/>
        <v>48686</v>
      </c>
      <c r="I127" s="26">
        <f t="shared" si="14"/>
        <v>48716</v>
      </c>
      <c r="J127" s="25">
        <f t="shared" si="10"/>
        <v>11</v>
      </c>
      <c r="K127" s="4"/>
      <c r="L127" s="5"/>
      <c r="M127" s="27">
        <f t="shared" si="15"/>
        <v>2606789.0600000019</v>
      </c>
      <c r="N127" s="27">
        <f t="shared" si="16"/>
        <v>24860.94</v>
      </c>
      <c r="O127" s="27">
        <f t="shared" si="17"/>
        <v>3863.7899999999972</v>
      </c>
      <c r="P127" s="27">
        <f t="shared" si="18"/>
        <v>20997.15</v>
      </c>
      <c r="Q127" s="28">
        <f t="shared" si="19"/>
        <v>2602925.2700000019</v>
      </c>
      <c r="R127" s="8"/>
      <c r="S127" s="29">
        <f t="shared" si="13"/>
        <v>0</v>
      </c>
      <c r="T127" s="29"/>
    </row>
    <row r="128" spans="1:20" x14ac:dyDescent="0.25">
      <c r="A128" s="8"/>
      <c r="B128" s="36"/>
      <c r="C128" s="8"/>
      <c r="D128" s="8"/>
      <c r="E128" s="8"/>
      <c r="F128" s="24">
        <f t="shared" si="11"/>
        <v>365</v>
      </c>
      <c r="G128" s="25">
        <v>124</v>
      </c>
      <c r="H128" s="26">
        <f t="shared" si="12"/>
        <v>48716</v>
      </c>
      <c r="I128" s="26">
        <f t="shared" si="14"/>
        <v>48747</v>
      </c>
      <c r="J128" s="25">
        <f t="shared" si="10"/>
        <v>11</v>
      </c>
      <c r="K128" s="4"/>
      <c r="L128" s="5"/>
      <c r="M128" s="27">
        <f t="shared" si="15"/>
        <v>2602925.2700000019</v>
      </c>
      <c r="N128" s="27">
        <f t="shared" si="16"/>
        <v>24860.94</v>
      </c>
      <c r="O128" s="27">
        <f t="shared" si="17"/>
        <v>3196.0399999999972</v>
      </c>
      <c r="P128" s="27">
        <f t="shared" si="18"/>
        <v>21664.9</v>
      </c>
      <c r="Q128" s="28">
        <f t="shared" si="19"/>
        <v>2599729.2300000018</v>
      </c>
      <c r="R128" s="8"/>
      <c r="S128" s="29">
        <f t="shared" si="13"/>
        <v>0</v>
      </c>
      <c r="T128" s="29"/>
    </row>
    <row r="129" spans="1:20" x14ac:dyDescent="0.25">
      <c r="A129" s="8"/>
      <c r="B129" s="36"/>
      <c r="C129" s="8"/>
      <c r="D129" s="8"/>
      <c r="E129" s="8"/>
      <c r="F129" s="24">
        <f t="shared" si="11"/>
        <v>365</v>
      </c>
      <c r="G129" s="25">
        <v>125</v>
      </c>
      <c r="H129" s="26">
        <f t="shared" si="12"/>
        <v>48747</v>
      </c>
      <c r="I129" s="26">
        <f t="shared" si="14"/>
        <v>48777</v>
      </c>
      <c r="J129" s="25">
        <f t="shared" si="10"/>
        <v>11</v>
      </c>
      <c r="K129" s="4"/>
      <c r="L129" s="5"/>
      <c r="M129" s="27">
        <f t="shared" si="15"/>
        <v>2599729.2300000018</v>
      </c>
      <c r="N129" s="27">
        <f t="shared" si="16"/>
        <v>24860.94</v>
      </c>
      <c r="O129" s="27">
        <f t="shared" si="17"/>
        <v>3920.66</v>
      </c>
      <c r="P129" s="27">
        <f t="shared" si="18"/>
        <v>20940.28</v>
      </c>
      <c r="Q129" s="28">
        <f t="shared" si="19"/>
        <v>2595808.5700000017</v>
      </c>
      <c r="R129" s="8"/>
      <c r="S129" s="29">
        <f t="shared" si="13"/>
        <v>0</v>
      </c>
      <c r="T129" s="29"/>
    </row>
    <row r="130" spans="1:20" x14ac:dyDescent="0.25">
      <c r="A130" s="8"/>
      <c r="B130" s="36"/>
      <c r="C130" s="8"/>
      <c r="D130" s="8"/>
      <c r="E130" s="8"/>
      <c r="F130" s="24">
        <f t="shared" si="11"/>
        <v>365</v>
      </c>
      <c r="G130" s="25">
        <v>126</v>
      </c>
      <c r="H130" s="26">
        <f t="shared" si="12"/>
        <v>48777</v>
      </c>
      <c r="I130" s="26">
        <f t="shared" si="14"/>
        <v>48808</v>
      </c>
      <c r="J130" s="25">
        <f t="shared" si="10"/>
        <v>11</v>
      </c>
      <c r="K130" s="4"/>
      <c r="L130" s="5"/>
      <c r="M130" s="27">
        <f t="shared" si="15"/>
        <v>2595808.5700000017</v>
      </c>
      <c r="N130" s="27">
        <f t="shared" si="16"/>
        <v>24860.94</v>
      </c>
      <c r="O130" s="27">
        <f t="shared" si="17"/>
        <v>3255.2799999999988</v>
      </c>
      <c r="P130" s="27">
        <f t="shared" si="18"/>
        <v>21605.66</v>
      </c>
      <c r="Q130" s="28">
        <f t="shared" si="19"/>
        <v>2592553.2900000019</v>
      </c>
      <c r="R130" s="8"/>
      <c r="S130" s="29">
        <f t="shared" si="13"/>
        <v>0</v>
      </c>
      <c r="T130" s="29"/>
    </row>
    <row r="131" spans="1:20" x14ac:dyDescent="0.25">
      <c r="A131" s="8"/>
      <c r="B131" s="36"/>
      <c r="C131" s="8"/>
      <c r="D131" s="8"/>
      <c r="E131" s="8"/>
      <c r="F131" s="24">
        <f t="shared" si="11"/>
        <v>365</v>
      </c>
      <c r="G131" s="25">
        <v>127</v>
      </c>
      <c r="H131" s="26">
        <f t="shared" si="12"/>
        <v>48808</v>
      </c>
      <c r="I131" s="26">
        <f t="shared" si="14"/>
        <v>48839</v>
      </c>
      <c r="J131" s="25">
        <f t="shared" si="10"/>
        <v>11</v>
      </c>
      <c r="K131" s="4"/>
      <c r="L131" s="5"/>
      <c r="M131" s="27">
        <f t="shared" si="15"/>
        <v>2592553.2900000019</v>
      </c>
      <c r="N131" s="27">
        <f t="shared" si="16"/>
        <v>24860.94</v>
      </c>
      <c r="O131" s="27">
        <f t="shared" si="17"/>
        <v>3282.369999999999</v>
      </c>
      <c r="P131" s="27">
        <f t="shared" si="18"/>
        <v>21578.57</v>
      </c>
      <c r="Q131" s="28">
        <f t="shared" si="19"/>
        <v>2589270.9200000018</v>
      </c>
      <c r="R131" s="8"/>
      <c r="S131" s="29">
        <f t="shared" si="13"/>
        <v>0</v>
      </c>
      <c r="T131" s="29"/>
    </row>
    <row r="132" spans="1:20" x14ac:dyDescent="0.25">
      <c r="A132" s="8"/>
      <c r="B132" s="36"/>
      <c r="C132" s="8"/>
      <c r="D132" s="8"/>
      <c r="E132" s="8"/>
      <c r="F132" s="24">
        <f t="shared" si="11"/>
        <v>365</v>
      </c>
      <c r="G132" s="25">
        <v>128</v>
      </c>
      <c r="H132" s="26">
        <f t="shared" si="12"/>
        <v>48839</v>
      </c>
      <c r="I132" s="26">
        <f t="shared" si="14"/>
        <v>48869</v>
      </c>
      <c r="J132" s="25">
        <f t="shared" si="10"/>
        <v>11</v>
      </c>
      <c r="K132" s="4"/>
      <c r="L132" s="5"/>
      <c r="M132" s="27">
        <f t="shared" si="15"/>
        <v>2589270.9200000018</v>
      </c>
      <c r="N132" s="27">
        <f t="shared" si="16"/>
        <v>24860.94</v>
      </c>
      <c r="O132" s="27">
        <f t="shared" si="17"/>
        <v>4004.8899999999994</v>
      </c>
      <c r="P132" s="27">
        <f t="shared" si="18"/>
        <v>20856.05</v>
      </c>
      <c r="Q132" s="28">
        <f t="shared" si="19"/>
        <v>2585266.0300000017</v>
      </c>
      <c r="R132" s="8"/>
      <c r="S132" s="29">
        <f t="shared" si="13"/>
        <v>0</v>
      </c>
      <c r="T132" s="29"/>
    </row>
    <row r="133" spans="1:20" x14ac:dyDescent="0.25">
      <c r="A133" s="8"/>
      <c r="B133" s="36"/>
      <c r="C133" s="8"/>
      <c r="D133" s="8"/>
      <c r="E133" s="8"/>
      <c r="F133" s="24">
        <f t="shared" si="11"/>
        <v>365</v>
      </c>
      <c r="G133" s="25">
        <v>129</v>
      </c>
      <c r="H133" s="26">
        <f t="shared" si="12"/>
        <v>48869</v>
      </c>
      <c r="I133" s="26">
        <f t="shared" si="14"/>
        <v>48900</v>
      </c>
      <c r="J133" s="25">
        <f t="shared" ref="J133:J196" si="20">ROUNDUP(G133/12,0)</f>
        <v>11</v>
      </c>
      <c r="K133" s="4"/>
      <c r="L133" s="5"/>
      <c r="M133" s="27">
        <f t="shared" si="15"/>
        <v>2585266.0300000017</v>
      </c>
      <c r="N133" s="27">
        <f t="shared" si="16"/>
        <v>24860.94</v>
      </c>
      <c r="O133" s="27">
        <f t="shared" si="17"/>
        <v>3343.0299999999988</v>
      </c>
      <c r="P133" s="27">
        <f t="shared" si="18"/>
        <v>21517.91</v>
      </c>
      <c r="Q133" s="28">
        <f t="shared" si="19"/>
        <v>2581923.0000000019</v>
      </c>
      <c r="R133" s="8"/>
      <c r="S133" s="29">
        <f t="shared" si="13"/>
        <v>0</v>
      </c>
      <c r="T133" s="29"/>
    </row>
    <row r="134" spans="1:20" x14ac:dyDescent="0.25">
      <c r="A134" s="8"/>
      <c r="B134" s="36"/>
      <c r="C134" s="8"/>
      <c r="D134" s="8"/>
      <c r="E134" s="8"/>
      <c r="F134" s="24">
        <f t="shared" ref="F134:F197" si="21">DATE(YEAR(I134),12,31)-DATE(YEAR(I134),1,1)+1</f>
        <v>365</v>
      </c>
      <c r="G134" s="25">
        <v>130</v>
      </c>
      <c r="H134" s="26">
        <f t="shared" ref="H134:H197" si="22">I133</f>
        <v>48900</v>
      </c>
      <c r="I134" s="26">
        <f t="shared" si="14"/>
        <v>48930</v>
      </c>
      <c r="J134" s="25">
        <f t="shared" si="20"/>
        <v>11</v>
      </c>
      <c r="K134" s="4"/>
      <c r="L134" s="5"/>
      <c r="M134" s="27">
        <f t="shared" si="15"/>
        <v>2581923.0000000019</v>
      </c>
      <c r="N134" s="27">
        <f t="shared" si="16"/>
        <v>24860.94</v>
      </c>
      <c r="O134" s="27">
        <f t="shared" si="17"/>
        <v>4064.0799999999981</v>
      </c>
      <c r="P134" s="27">
        <f t="shared" si="18"/>
        <v>20796.86</v>
      </c>
      <c r="Q134" s="28">
        <f t="shared" si="19"/>
        <v>2577858.9200000018</v>
      </c>
      <c r="R134" s="8"/>
      <c r="S134" s="29">
        <f t="shared" ref="S134:S197" si="23">IF(AND(K133=$V$4,L133&gt;0),1,0)</f>
        <v>0</v>
      </c>
      <c r="T134" s="29"/>
    </row>
    <row r="135" spans="1:20" x14ac:dyDescent="0.25">
      <c r="A135" s="8"/>
      <c r="B135" s="36"/>
      <c r="C135" s="8"/>
      <c r="D135" s="8"/>
      <c r="E135" s="8"/>
      <c r="F135" s="24">
        <f t="shared" si="21"/>
        <v>365</v>
      </c>
      <c r="G135" s="25">
        <v>131</v>
      </c>
      <c r="H135" s="26">
        <f t="shared" si="22"/>
        <v>48930</v>
      </c>
      <c r="I135" s="26">
        <f t="shared" ref="I135:I198" si="24">EDATE(I134,1)</f>
        <v>48961</v>
      </c>
      <c r="J135" s="25">
        <f t="shared" si="20"/>
        <v>11</v>
      </c>
      <c r="K135" s="4"/>
      <c r="L135" s="5"/>
      <c r="M135" s="27">
        <f t="shared" ref="M135:M198" si="25">Q134</f>
        <v>2577858.9200000018</v>
      </c>
      <c r="N135" s="27">
        <f t="shared" ref="N135:N198" si="26">IF(M135&lt;$C$10,M135*((1+$C$9*(DATEDIF(H135,I135,"d")+1)/F135)),IF(AND(L134&lt;&gt;0,K134=$V$4),ROUND(M135*$C$9/12/(1-(1+$C$9/12)^(-(($C$8*12-G134)-1))),2),IF(G135=2,$C$10,N134)))</f>
        <v>24860.94</v>
      </c>
      <c r="O135" s="27">
        <f t="shared" ref="O135:O198" si="27">IFERROR(IF(M135&gt;N135,N135-P135,M135),"-")</f>
        <v>3404.6800000000003</v>
      </c>
      <c r="P135" s="27">
        <f t="shared" ref="P135:P198" si="28">IFERROR(IF($C$8*12&gt;=G135,ROUND(M135*$C$9*DATEDIF(H135,I135,"d")/F135,2),0),"-")</f>
        <v>21456.26</v>
      </c>
      <c r="Q135" s="28">
        <f t="shared" ref="Q135:Q198" si="29">M135-O135-IF(K135="",0,L135)</f>
        <v>2574454.2400000016</v>
      </c>
      <c r="R135" s="8"/>
      <c r="S135" s="29">
        <f t="shared" si="23"/>
        <v>0</v>
      </c>
      <c r="T135" s="29"/>
    </row>
    <row r="136" spans="1:20" x14ac:dyDescent="0.25">
      <c r="A136" s="8"/>
      <c r="B136" s="36"/>
      <c r="C136" s="8"/>
      <c r="D136" s="8"/>
      <c r="E136" s="8"/>
      <c r="F136" s="24">
        <f t="shared" si="21"/>
        <v>365</v>
      </c>
      <c r="G136" s="25">
        <v>132</v>
      </c>
      <c r="H136" s="26">
        <f t="shared" si="22"/>
        <v>48961</v>
      </c>
      <c r="I136" s="26">
        <f t="shared" si="24"/>
        <v>48992</v>
      </c>
      <c r="J136" s="25">
        <f t="shared" si="20"/>
        <v>11</v>
      </c>
      <c r="K136" s="4"/>
      <c r="L136" s="5"/>
      <c r="M136" s="27">
        <f t="shared" si="25"/>
        <v>2574454.2400000016</v>
      </c>
      <c r="N136" s="27">
        <f t="shared" si="26"/>
        <v>24860.94</v>
      </c>
      <c r="O136" s="27">
        <f t="shared" si="27"/>
        <v>3433.0200000000004</v>
      </c>
      <c r="P136" s="27">
        <f t="shared" si="28"/>
        <v>21427.919999999998</v>
      </c>
      <c r="Q136" s="28">
        <f t="shared" si="29"/>
        <v>2571021.2200000016</v>
      </c>
      <c r="R136" s="8"/>
      <c r="S136" s="29">
        <f t="shared" si="23"/>
        <v>0</v>
      </c>
      <c r="T136" s="29"/>
    </row>
    <row r="137" spans="1:20" x14ac:dyDescent="0.25">
      <c r="A137" s="8"/>
      <c r="B137" s="36"/>
      <c r="C137" s="8"/>
      <c r="D137" s="8"/>
      <c r="E137" s="8"/>
      <c r="F137" s="24">
        <f t="shared" si="21"/>
        <v>365</v>
      </c>
      <c r="G137" s="25">
        <v>133</v>
      </c>
      <c r="H137" s="26">
        <f t="shared" si="22"/>
        <v>48992</v>
      </c>
      <c r="I137" s="26">
        <f t="shared" si="24"/>
        <v>49020</v>
      </c>
      <c r="J137" s="25">
        <f t="shared" si="20"/>
        <v>12</v>
      </c>
      <c r="K137" s="4"/>
      <c r="L137" s="5"/>
      <c r="M137" s="27">
        <f t="shared" si="25"/>
        <v>2571021.2200000016</v>
      </c>
      <c r="N137" s="27">
        <f t="shared" si="26"/>
        <v>24860.94</v>
      </c>
      <c r="O137" s="27">
        <f t="shared" si="27"/>
        <v>5532.5</v>
      </c>
      <c r="P137" s="27">
        <f t="shared" si="28"/>
        <v>19328.439999999999</v>
      </c>
      <c r="Q137" s="28">
        <f t="shared" si="29"/>
        <v>2565488.7200000016</v>
      </c>
      <c r="R137" s="8"/>
      <c r="S137" s="29">
        <f t="shared" si="23"/>
        <v>0</v>
      </c>
      <c r="T137" s="29"/>
    </row>
    <row r="138" spans="1:20" x14ac:dyDescent="0.25">
      <c r="A138" s="8"/>
      <c r="B138" s="36"/>
      <c r="C138" s="8"/>
      <c r="D138" s="8"/>
      <c r="E138" s="8"/>
      <c r="F138" s="24">
        <f t="shared" si="21"/>
        <v>365</v>
      </c>
      <c r="G138" s="25">
        <v>134</v>
      </c>
      <c r="H138" s="26">
        <f t="shared" si="22"/>
        <v>49020</v>
      </c>
      <c r="I138" s="26">
        <f t="shared" si="24"/>
        <v>49051</v>
      </c>
      <c r="J138" s="25">
        <f t="shared" si="20"/>
        <v>12</v>
      </c>
      <c r="K138" s="4"/>
      <c r="L138" s="5"/>
      <c r="M138" s="27">
        <f t="shared" si="25"/>
        <v>2565488.7200000016</v>
      </c>
      <c r="N138" s="27">
        <f t="shared" si="26"/>
        <v>24860.94</v>
      </c>
      <c r="O138" s="27">
        <f t="shared" si="27"/>
        <v>3507.6399999999994</v>
      </c>
      <c r="P138" s="27">
        <f t="shared" si="28"/>
        <v>21353.3</v>
      </c>
      <c r="Q138" s="28">
        <f t="shared" si="29"/>
        <v>2561981.0800000015</v>
      </c>
      <c r="R138" s="8"/>
      <c r="S138" s="29">
        <f t="shared" si="23"/>
        <v>0</v>
      </c>
      <c r="T138" s="29"/>
    </row>
    <row r="139" spans="1:20" x14ac:dyDescent="0.25">
      <c r="A139" s="8"/>
      <c r="B139" s="36"/>
      <c r="C139" s="8"/>
      <c r="D139" s="8"/>
      <c r="E139" s="8"/>
      <c r="F139" s="24">
        <f t="shared" si="21"/>
        <v>365</v>
      </c>
      <c r="G139" s="25">
        <v>135</v>
      </c>
      <c r="H139" s="26">
        <f t="shared" si="22"/>
        <v>49051</v>
      </c>
      <c r="I139" s="26">
        <f t="shared" si="24"/>
        <v>49081</v>
      </c>
      <c r="J139" s="25">
        <f t="shared" si="20"/>
        <v>12</v>
      </c>
      <c r="K139" s="4"/>
      <c r="L139" s="5"/>
      <c r="M139" s="27">
        <f t="shared" si="25"/>
        <v>2561981.0800000015</v>
      </c>
      <c r="N139" s="27">
        <f t="shared" si="26"/>
        <v>24860.94</v>
      </c>
      <c r="O139" s="27">
        <f t="shared" si="27"/>
        <v>4224.7099999999991</v>
      </c>
      <c r="P139" s="27">
        <f t="shared" si="28"/>
        <v>20636.23</v>
      </c>
      <c r="Q139" s="28">
        <f t="shared" si="29"/>
        <v>2557756.3700000015</v>
      </c>
      <c r="R139" s="8"/>
      <c r="S139" s="29">
        <f t="shared" si="23"/>
        <v>0</v>
      </c>
      <c r="T139" s="29"/>
    </row>
    <row r="140" spans="1:20" x14ac:dyDescent="0.25">
      <c r="A140" s="8"/>
      <c r="B140" s="36"/>
      <c r="C140" s="8"/>
      <c r="D140" s="8"/>
      <c r="E140" s="8"/>
      <c r="F140" s="24">
        <f t="shared" si="21"/>
        <v>365</v>
      </c>
      <c r="G140" s="25">
        <v>136</v>
      </c>
      <c r="H140" s="26">
        <f t="shared" si="22"/>
        <v>49081</v>
      </c>
      <c r="I140" s="26">
        <f t="shared" si="24"/>
        <v>49112</v>
      </c>
      <c r="J140" s="25">
        <f t="shared" si="20"/>
        <v>12</v>
      </c>
      <c r="K140" s="4"/>
      <c r="L140" s="5"/>
      <c r="M140" s="27">
        <f t="shared" si="25"/>
        <v>2557756.3700000015</v>
      </c>
      <c r="N140" s="27">
        <f t="shared" si="26"/>
        <v>24860.94</v>
      </c>
      <c r="O140" s="27">
        <f t="shared" si="27"/>
        <v>3572</v>
      </c>
      <c r="P140" s="27">
        <f t="shared" si="28"/>
        <v>21288.94</v>
      </c>
      <c r="Q140" s="28">
        <f t="shared" si="29"/>
        <v>2554184.3700000015</v>
      </c>
      <c r="R140" s="8"/>
      <c r="S140" s="29">
        <f t="shared" si="23"/>
        <v>0</v>
      </c>
      <c r="T140" s="29"/>
    </row>
    <row r="141" spans="1:20" x14ac:dyDescent="0.25">
      <c r="A141" s="8"/>
      <c r="B141" s="36"/>
      <c r="C141" s="8"/>
      <c r="D141" s="8"/>
      <c r="E141" s="8"/>
      <c r="F141" s="24">
        <f t="shared" si="21"/>
        <v>365</v>
      </c>
      <c r="G141" s="25">
        <v>137</v>
      </c>
      <c r="H141" s="26">
        <f t="shared" si="22"/>
        <v>49112</v>
      </c>
      <c r="I141" s="26">
        <f t="shared" si="24"/>
        <v>49142</v>
      </c>
      <c r="J141" s="25">
        <f t="shared" si="20"/>
        <v>12</v>
      </c>
      <c r="K141" s="4"/>
      <c r="L141" s="5"/>
      <c r="M141" s="27">
        <f t="shared" si="25"/>
        <v>2554184.3700000015</v>
      </c>
      <c r="N141" s="27">
        <f t="shared" si="26"/>
        <v>24860.94</v>
      </c>
      <c r="O141" s="27">
        <f t="shared" si="27"/>
        <v>4287.5099999999984</v>
      </c>
      <c r="P141" s="27">
        <f t="shared" si="28"/>
        <v>20573.43</v>
      </c>
      <c r="Q141" s="28">
        <f t="shared" si="29"/>
        <v>2549896.8600000017</v>
      </c>
      <c r="R141" s="8"/>
      <c r="S141" s="29">
        <f t="shared" si="23"/>
        <v>0</v>
      </c>
      <c r="T141" s="29"/>
    </row>
    <row r="142" spans="1:20" x14ac:dyDescent="0.25">
      <c r="A142" s="8"/>
      <c r="B142" s="36"/>
      <c r="C142" s="8"/>
      <c r="D142" s="8"/>
      <c r="E142" s="8"/>
      <c r="F142" s="24">
        <f t="shared" si="21"/>
        <v>365</v>
      </c>
      <c r="G142" s="25">
        <v>138</v>
      </c>
      <c r="H142" s="26">
        <f t="shared" si="22"/>
        <v>49142</v>
      </c>
      <c r="I142" s="26">
        <f t="shared" si="24"/>
        <v>49173</v>
      </c>
      <c r="J142" s="25">
        <f t="shared" si="20"/>
        <v>12</v>
      </c>
      <c r="K142" s="4"/>
      <c r="L142" s="5"/>
      <c r="M142" s="27">
        <f t="shared" si="25"/>
        <v>2549896.8600000017</v>
      </c>
      <c r="N142" s="27">
        <f t="shared" si="26"/>
        <v>24860.94</v>
      </c>
      <c r="O142" s="27">
        <f t="shared" si="27"/>
        <v>3637.41</v>
      </c>
      <c r="P142" s="27">
        <f t="shared" si="28"/>
        <v>21223.53</v>
      </c>
      <c r="Q142" s="28">
        <f t="shared" si="29"/>
        <v>2546259.4500000016</v>
      </c>
      <c r="R142" s="8"/>
      <c r="S142" s="29">
        <f t="shared" si="23"/>
        <v>0</v>
      </c>
      <c r="T142" s="29"/>
    </row>
    <row r="143" spans="1:20" x14ac:dyDescent="0.25">
      <c r="A143" s="8"/>
      <c r="B143" s="36"/>
      <c r="C143" s="8"/>
      <c r="D143" s="8"/>
      <c r="E143" s="8"/>
      <c r="F143" s="24">
        <f t="shared" si="21"/>
        <v>365</v>
      </c>
      <c r="G143" s="25">
        <v>139</v>
      </c>
      <c r="H143" s="26">
        <f t="shared" si="22"/>
        <v>49173</v>
      </c>
      <c r="I143" s="26">
        <f t="shared" si="24"/>
        <v>49204</v>
      </c>
      <c r="J143" s="25">
        <f t="shared" si="20"/>
        <v>12</v>
      </c>
      <c r="K143" s="4"/>
      <c r="L143" s="5"/>
      <c r="M143" s="27">
        <f t="shared" si="25"/>
        <v>2546259.4500000016</v>
      </c>
      <c r="N143" s="27">
        <f t="shared" si="26"/>
        <v>24860.94</v>
      </c>
      <c r="O143" s="27">
        <f t="shared" si="27"/>
        <v>3667.6899999999987</v>
      </c>
      <c r="P143" s="27">
        <f t="shared" si="28"/>
        <v>21193.25</v>
      </c>
      <c r="Q143" s="28">
        <f t="shared" si="29"/>
        <v>2542591.7600000016</v>
      </c>
      <c r="R143" s="8"/>
      <c r="S143" s="29">
        <f t="shared" si="23"/>
        <v>0</v>
      </c>
      <c r="T143" s="29"/>
    </row>
    <row r="144" spans="1:20" x14ac:dyDescent="0.25">
      <c r="A144" s="8"/>
      <c r="B144" s="36"/>
      <c r="C144" s="8"/>
      <c r="D144" s="8"/>
      <c r="E144" s="8"/>
      <c r="F144" s="24">
        <f t="shared" si="21"/>
        <v>365</v>
      </c>
      <c r="G144" s="25">
        <v>140</v>
      </c>
      <c r="H144" s="26">
        <f t="shared" si="22"/>
        <v>49204</v>
      </c>
      <c r="I144" s="26">
        <f t="shared" si="24"/>
        <v>49234</v>
      </c>
      <c r="J144" s="25">
        <f t="shared" si="20"/>
        <v>12</v>
      </c>
      <c r="K144" s="4"/>
      <c r="L144" s="5"/>
      <c r="M144" s="27">
        <f t="shared" si="25"/>
        <v>2542591.7600000016</v>
      </c>
      <c r="N144" s="27">
        <f t="shared" si="26"/>
        <v>24860.94</v>
      </c>
      <c r="O144" s="27">
        <f t="shared" si="27"/>
        <v>4380.8899999999994</v>
      </c>
      <c r="P144" s="27">
        <f t="shared" si="28"/>
        <v>20480.05</v>
      </c>
      <c r="Q144" s="28">
        <f t="shared" si="29"/>
        <v>2538210.8700000015</v>
      </c>
      <c r="R144" s="8"/>
      <c r="S144" s="29">
        <f t="shared" si="23"/>
        <v>0</v>
      </c>
      <c r="T144" s="29"/>
    </row>
    <row r="145" spans="1:20" x14ac:dyDescent="0.25">
      <c r="A145" s="8"/>
      <c r="B145" s="36"/>
      <c r="C145" s="8"/>
      <c r="D145" s="8"/>
      <c r="E145" s="8"/>
      <c r="F145" s="24">
        <f t="shared" si="21"/>
        <v>365</v>
      </c>
      <c r="G145" s="25">
        <v>141</v>
      </c>
      <c r="H145" s="26">
        <f t="shared" si="22"/>
        <v>49234</v>
      </c>
      <c r="I145" s="26">
        <f t="shared" si="24"/>
        <v>49265</v>
      </c>
      <c r="J145" s="25">
        <f t="shared" si="20"/>
        <v>12</v>
      </c>
      <c r="K145" s="4"/>
      <c r="L145" s="5"/>
      <c r="M145" s="27">
        <f t="shared" si="25"/>
        <v>2538210.8700000015</v>
      </c>
      <c r="N145" s="27">
        <f t="shared" si="26"/>
        <v>24860.94</v>
      </c>
      <c r="O145" s="27">
        <f t="shared" si="27"/>
        <v>3734.6800000000003</v>
      </c>
      <c r="P145" s="27">
        <f t="shared" si="28"/>
        <v>21126.26</v>
      </c>
      <c r="Q145" s="28">
        <f t="shared" si="29"/>
        <v>2534476.1900000013</v>
      </c>
      <c r="R145" s="8"/>
      <c r="S145" s="29">
        <f t="shared" si="23"/>
        <v>0</v>
      </c>
      <c r="T145" s="29"/>
    </row>
    <row r="146" spans="1:20" x14ac:dyDescent="0.25">
      <c r="A146" s="8"/>
      <c r="B146" s="36"/>
      <c r="C146" s="8"/>
      <c r="D146" s="8"/>
      <c r="E146" s="8"/>
      <c r="F146" s="24">
        <f t="shared" si="21"/>
        <v>365</v>
      </c>
      <c r="G146" s="25">
        <v>142</v>
      </c>
      <c r="H146" s="26">
        <f t="shared" si="22"/>
        <v>49265</v>
      </c>
      <c r="I146" s="26">
        <f t="shared" si="24"/>
        <v>49295</v>
      </c>
      <c r="J146" s="25">
        <f t="shared" si="20"/>
        <v>12</v>
      </c>
      <c r="K146" s="4"/>
      <c r="L146" s="5"/>
      <c r="M146" s="27">
        <f t="shared" si="25"/>
        <v>2534476.1900000013</v>
      </c>
      <c r="N146" s="27">
        <f t="shared" si="26"/>
        <v>24860.94</v>
      </c>
      <c r="O146" s="27">
        <f t="shared" si="27"/>
        <v>4446.2599999999984</v>
      </c>
      <c r="P146" s="27">
        <f t="shared" si="28"/>
        <v>20414.68</v>
      </c>
      <c r="Q146" s="28">
        <f t="shared" si="29"/>
        <v>2530029.9300000016</v>
      </c>
      <c r="R146" s="8"/>
      <c r="S146" s="29">
        <f t="shared" si="23"/>
        <v>0</v>
      </c>
      <c r="T146" s="29"/>
    </row>
    <row r="147" spans="1:20" x14ac:dyDescent="0.25">
      <c r="A147" s="8"/>
      <c r="B147" s="36"/>
      <c r="C147" s="8"/>
      <c r="D147" s="8"/>
      <c r="E147" s="8"/>
      <c r="F147" s="24">
        <f t="shared" si="21"/>
        <v>365</v>
      </c>
      <c r="G147" s="25">
        <v>143</v>
      </c>
      <c r="H147" s="26">
        <f t="shared" si="22"/>
        <v>49295</v>
      </c>
      <c r="I147" s="26">
        <f t="shared" si="24"/>
        <v>49326</v>
      </c>
      <c r="J147" s="25">
        <f t="shared" si="20"/>
        <v>12</v>
      </c>
      <c r="K147" s="4"/>
      <c r="L147" s="5"/>
      <c r="M147" s="27">
        <f t="shared" si="25"/>
        <v>2530029.9300000016</v>
      </c>
      <c r="N147" s="27">
        <f t="shared" si="26"/>
        <v>24860.94</v>
      </c>
      <c r="O147" s="27">
        <f t="shared" si="27"/>
        <v>3802.7700000000004</v>
      </c>
      <c r="P147" s="27">
        <f t="shared" si="28"/>
        <v>21058.17</v>
      </c>
      <c r="Q147" s="28">
        <f t="shared" si="29"/>
        <v>2526227.1600000015</v>
      </c>
      <c r="R147" s="8"/>
      <c r="S147" s="29">
        <f t="shared" si="23"/>
        <v>0</v>
      </c>
      <c r="T147" s="29"/>
    </row>
    <row r="148" spans="1:20" x14ac:dyDescent="0.25">
      <c r="A148" s="8"/>
      <c r="B148" s="36"/>
      <c r="C148" s="8"/>
      <c r="D148" s="8"/>
      <c r="E148" s="8"/>
      <c r="F148" s="24">
        <f t="shared" si="21"/>
        <v>365</v>
      </c>
      <c r="G148" s="25">
        <v>144</v>
      </c>
      <c r="H148" s="26">
        <f t="shared" si="22"/>
        <v>49326</v>
      </c>
      <c r="I148" s="26">
        <f t="shared" si="24"/>
        <v>49357</v>
      </c>
      <c r="J148" s="25">
        <f t="shared" si="20"/>
        <v>12</v>
      </c>
      <c r="K148" s="4"/>
      <c r="L148" s="5"/>
      <c r="M148" s="27">
        <f t="shared" si="25"/>
        <v>2526227.1600000015</v>
      </c>
      <c r="N148" s="27">
        <f t="shared" si="26"/>
        <v>24860.94</v>
      </c>
      <c r="O148" s="27">
        <f t="shared" si="27"/>
        <v>3834.4199999999983</v>
      </c>
      <c r="P148" s="27">
        <f t="shared" si="28"/>
        <v>21026.52</v>
      </c>
      <c r="Q148" s="28">
        <f t="shared" si="29"/>
        <v>2522392.7400000016</v>
      </c>
      <c r="R148" s="8"/>
      <c r="S148" s="29">
        <f t="shared" si="23"/>
        <v>0</v>
      </c>
      <c r="T148" s="29"/>
    </row>
    <row r="149" spans="1:20" x14ac:dyDescent="0.25">
      <c r="A149" s="8"/>
      <c r="B149" s="36"/>
      <c r="C149" s="8"/>
      <c r="D149" s="8"/>
      <c r="E149" s="8"/>
      <c r="F149" s="24">
        <f t="shared" si="21"/>
        <v>365</v>
      </c>
      <c r="G149" s="25">
        <v>145</v>
      </c>
      <c r="H149" s="26">
        <f t="shared" si="22"/>
        <v>49357</v>
      </c>
      <c r="I149" s="26">
        <f t="shared" si="24"/>
        <v>49385</v>
      </c>
      <c r="J149" s="25">
        <f t="shared" si="20"/>
        <v>13</v>
      </c>
      <c r="K149" s="4"/>
      <c r="L149" s="5"/>
      <c r="M149" s="27">
        <f t="shared" si="25"/>
        <v>2522392.7400000016</v>
      </c>
      <c r="N149" s="27">
        <f t="shared" si="26"/>
        <v>24860.94</v>
      </c>
      <c r="O149" s="27">
        <f t="shared" si="27"/>
        <v>5898.0799999999981</v>
      </c>
      <c r="P149" s="27">
        <f t="shared" si="28"/>
        <v>18962.86</v>
      </c>
      <c r="Q149" s="28">
        <f t="shared" si="29"/>
        <v>2516494.6600000015</v>
      </c>
      <c r="R149" s="8"/>
      <c r="S149" s="29">
        <f t="shared" si="23"/>
        <v>0</v>
      </c>
      <c r="T149" s="29"/>
    </row>
    <row r="150" spans="1:20" x14ac:dyDescent="0.25">
      <c r="A150" s="8"/>
      <c r="B150" s="36"/>
      <c r="C150" s="8"/>
      <c r="D150" s="8"/>
      <c r="E150" s="8"/>
      <c r="F150" s="24">
        <f t="shared" si="21"/>
        <v>365</v>
      </c>
      <c r="G150" s="25">
        <v>146</v>
      </c>
      <c r="H150" s="26">
        <f t="shared" si="22"/>
        <v>49385</v>
      </c>
      <c r="I150" s="26">
        <f t="shared" si="24"/>
        <v>49416</v>
      </c>
      <c r="J150" s="25">
        <f t="shared" si="20"/>
        <v>13</v>
      </c>
      <c r="K150" s="4"/>
      <c r="L150" s="5"/>
      <c r="M150" s="27">
        <f t="shared" si="25"/>
        <v>2516494.6600000015</v>
      </c>
      <c r="N150" s="27">
        <f t="shared" si="26"/>
        <v>24860.94</v>
      </c>
      <c r="O150" s="27">
        <f t="shared" si="27"/>
        <v>3915.4300000000003</v>
      </c>
      <c r="P150" s="27">
        <f t="shared" si="28"/>
        <v>20945.509999999998</v>
      </c>
      <c r="Q150" s="28">
        <f t="shared" si="29"/>
        <v>2512579.2300000014</v>
      </c>
      <c r="R150" s="8"/>
      <c r="S150" s="29">
        <f t="shared" si="23"/>
        <v>0</v>
      </c>
      <c r="T150" s="29"/>
    </row>
    <row r="151" spans="1:20" x14ac:dyDescent="0.25">
      <c r="A151" s="8"/>
      <c r="B151" s="36"/>
      <c r="C151" s="8"/>
      <c r="D151" s="8"/>
      <c r="E151" s="8"/>
      <c r="F151" s="24">
        <f t="shared" si="21"/>
        <v>365</v>
      </c>
      <c r="G151" s="25">
        <v>147</v>
      </c>
      <c r="H151" s="26">
        <f t="shared" si="22"/>
        <v>49416</v>
      </c>
      <c r="I151" s="26">
        <f t="shared" si="24"/>
        <v>49446</v>
      </c>
      <c r="J151" s="25">
        <f t="shared" si="20"/>
        <v>13</v>
      </c>
      <c r="K151" s="4"/>
      <c r="L151" s="5"/>
      <c r="M151" s="27">
        <f t="shared" si="25"/>
        <v>2512579.2300000014</v>
      </c>
      <c r="N151" s="27">
        <f t="shared" si="26"/>
        <v>24860.94</v>
      </c>
      <c r="O151" s="27">
        <f t="shared" si="27"/>
        <v>4622.6299999999974</v>
      </c>
      <c r="P151" s="27">
        <f t="shared" si="28"/>
        <v>20238.310000000001</v>
      </c>
      <c r="Q151" s="28">
        <f t="shared" si="29"/>
        <v>2507956.6000000015</v>
      </c>
      <c r="R151" s="8"/>
      <c r="S151" s="29">
        <f t="shared" si="23"/>
        <v>0</v>
      </c>
      <c r="T151" s="29"/>
    </row>
    <row r="152" spans="1:20" x14ac:dyDescent="0.25">
      <c r="A152" s="8"/>
      <c r="B152" s="36"/>
      <c r="C152" s="8"/>
      <c r="D152" s="8"/>
      <c r="E152" s="8"/>
      <c r="F152" s="24">
        <f t="shared" si="21"/>
        <v>365</v>
      </c>
      <c r="G152" s="25">
        <v>148</v>
      </c>
      <c r="H152" s="26">
        <f t="shared" si="22"/>
        <v>49446</v>
      </c>
      <c r="I152" s="26">
        <f t="shared" si="24"/>
        <v>49477</v>
      </c>
      <c r="J152" s="25">
        <f t="shared" si="20"/>
        <v>13</v>
      </c>
      <c r="K152" s="4"/>
      <c r="L152" s="5"/>
      <c r="M152" s="27">
        <f t="shared" si="25"/>
        <v>2507956.6000000015</v>
      </c>
      <c r="N152" s="27">
        <f t="shared" si="26"/>
        <v>24860.94</v>
      </c>
      <c r="O152" s="27">
        <f t="shared" si="27"/>
        <v>3986.5</v>
      </c>
      <c r="P152" s="27">
        <f t="shared" si="28"/>
        <v>20874.439999999999</v>
      </c>
      <c r="Q152" s="28">
        <f t="shared" si="29"/>
        <v>2503970.1000000015</v>
      </c>
      <c r="R152" s="8"/>
      <c r="S152" s="29">
        <f t="shared" si="23"/>
        <v>0</v>
      </c>
      <c r="T152" s="29"/>
    </row>
    <row r="153" spans="1:20" x14ac:dyDescent="0.25">
      <c r="A153" s="8"/>
      <c r="B153" s="36"/>
      <c r="C153" s="8"/>
      <c r="D153" s="8"/>
      <c r="E153" s="8"/>
      <c r="F153" s="24">
        <f t="shared" si="21"/>
        <v>365</v>
      </c>
      <c r="G153" s="25">
        <v>149</v>
      </c>
      <c r="H153" s="26">
        <f t="shared" si="22"/>
        <v>49477</v>
      </c>
      <c r="I153" s="26">
        <f t="shared" si="24"/>
        <v>49507</v>
      </c>
      <c r="J153" s="25">
        <f t="shared" si="20"/>
        <v>13</v>
      </c>
      <c r="K153" s="4"/>
      <c r="L153" s="5"/>
      <c r="M153" s="27">
        <f t="shared" si="25"/>
        <v>2503970.1000000015</v>
      </c>
      <c r="N153" s="27">
        <f t="shared" si="26"/>
        <v>24860.94</v>
      </c>
      <c r="O153" s="27">
        <f t="shared" si="27"/>
        <v>4691.9799999999996</v>
      </c>
      <c r="P153" s="27">
        <f t="shared" si="28"/>
        <v>20168.96</v>
      </c>
      <c r="Q153" s="28">
        <f t="shared" si="29"/>
        <v>2499278.1200000015</v>
      </c>
      <c r="R153" s="8"/>
      <c r="S153" s="29">
        <f t="shared" si="23"/>
        <v>0</v>
      </c>
      <c r="T153" s="29"/>
    </row>
    <row r="154" spans="1:20" x14ac:dyDescent="0.25">
      <c r="A154" s="8"/>
      <c r="B154" s="36"/>
      <c r="C154" s="8"/>
      <c r="D154" s="8"/>
      <c r="E154" s="8"/>
      <c r="F154" s="24">
        <f t="shared" si="21"/>
        <v>365</v>
      </c>
      <c r="G154" s="25">
        <v>150</v>
      </c>
      <c r="H154" s="26">
        <f t="shared" si="22"/>
        <v>49507</v>
      </c>
      <c r="I154" s="26">
        <f t="shared" si="24"/>
        <v>49538</v>
      </c>
      <c r="J154" s="25">
        <f t="shared" si="20"/>
        <v>13</v>
      </c>
      <c r="K154" s="4"/>
      <c r="L154" s="5"/>
      <c r="M154" s="27">
        <f t="shared" si="25"/>
        <v>2499278.1200000015</v>
      </c>
      <c r="N154" s="27">
        <f t="shared" si="26"/>
        <v>24860.94</v>
      </c>
      <c r="O154" s="27">
        <f t="shared" si="27"/>
        <v>4058.7299999999996</v>
      </c>
      <c r="P154" s="27">
        <f t="shared" si="28"/>
        <v>20802.21</v>
      </c>
      <c r="Q154" s="28">
        <f t="shared" si="29"/>
        <v>2495219.3900000015</v>
      </c>
      <c r="R154" s="8"/>
      <c r="S154" s="29">
        <f t="shared" si="23"/>
        <v>0</v>
      </c>
      <c r="T154" s="29"/>
    </row>
    <row r="155" spans="1:20" x14ac:dyDescent="0.25">
      <c r="A155" s="8"/>
      <c r="B155" s="36"/>
      <c r="C155" s="8"/>
      <c r="D155" s="8"/>
      <c r="E155" s="8"/>
      <c r="F155" s="24">
        <f t="shared" si="21"/>
        <v>365</v>
      </c>
      <c r="G155" s="25">
        <v>151</v>
      </c>
      <c r="H155" s="26">
        <f t="shared" si="22"/>
        <v>49538</v>
      </c>
      <c r="I155" s="26">
        <f t="shared" si="24"/>
        <v>49569</v>
      </c>
      <c r="J155" s="25">
        <f t="shared" si="20"/>
        <v>13</v>
      </c>
      <c r="K155" s="4"/>
      <c r="L155" s="5"/>
      <c r="M155" s="27">
        <f t="shared" si="25"/>
        <v>2495219.3900000015</v>
      </c>
      <c r="N155" s="27">
        <f t="shared" si="26"/>
        <v>24860.94</v>
      </c>
      <c r="O155" s="27">
        <f t="shared" si="27"/>
        <v>4092.5099999999984</v>
      </c>
      <c r="P155" s="27">
        <f t="shared" si="28"/>
        <v>20768.43</v>
      </c>
      <c r="Q155" s="28">
        <f t="shared" si="29"/>
        <v>2491126.8800000018</v>
      </c>
      <c r="R155" s="8"/>
      <c r="S155" s="29">
        <f t="shared" si="23"/>
        <v>0</v>
      </c>
      <c r="T155" s="29"/>
    </row>
    <row r="156" spans="1:20" x14ac:dyDescent="0.25">
      <c r="A156" s="8"/>
      <c r="B156" s="36"/>
      <c r="C156" s="8"/>
      <c r="D156" s="8"/>
      <c r="E156" s="8"/>
      <c r="F156" s="24">
        <f t="shared" si="21"/>
        <v>365</v>
      </c>
      <c r="G156" s="25">
        <v>152</v>
      </c>
      <c r="H156" s="26">
        <f t="shared" si="22"/>
        <v>49569</v>
      </c>
      <c r="I156" s="26">
        <f t="shared" si="24"/>
        <v>49599</v>
      </c>
      <c r="J156" s="25">
        <f t="shared" si="20"/>
        <v>13</v>
      </c>
      <c r="K156" s="4"/>
      <c r="L156" s="5"/>
      <c r="M156" s="27">
        <f t="shared" si="25"/>
        <v>2491126.8800000018</v>
      </c>
      <c r="N156" s="27">
        <f t="shared" si="26"/>
        <v>24860.94</v>
      </c>
      <c r="O156" s="27">
        <f t="shared" si="27"/>
        <v>4795.4199999999983</v>
      </c>
      <c r="P156" s="27">
        <f t="shared" si="28"/>
        <v>20065.52</v>
      </c>
      <c r="Q156" s="28">
        <f t="shared" si="29"/>
        <v>2486331.4600000018</v>
      </c>
      <c r="R156" s="8"/>
      <c r="S156" s="29">
        <f t="shared" si="23"/>
        <v>0</v>
      </c>
      <c r="T156" s="29"/>
    </row>
    <row r="157" spans="1:20" x14ac:dyDescent="0.25">
      <c r="A157" s="8"/>
      <c r="B157" s="36"/>
      <c r="C157" s="8"/>
      <c r="D157" s="8"/>
      <c r="E157" s="8"/>
      <c r="F157" s="24">
        <f t="shared" si="21"/>
        <v>365</v>
      </c>
      <c r="G157" s="25">
        <v>153</v>
      </c>
      <c r="H157" s="26">
        <f t="shared" si="22"/>
        <v>49599</v>
      </c>
      <c r="I157" s="26">
        <f t="shared" si="24"/>
        <v>49630</v>
      </c>
      <c r="J157" s="25">
        <f t="shared" si="20"/>
        <v>13</v>
      </c>
      <c r="K157" s="4"/>
      <c r="L157" s="5"/>
      <c r="M157" s="27">
        <f t="shared" si="25"/>
        <v>2486331.4600000018</v>
      </c>
      <c r="N157" s="27">
        <f t="shared" si="26"/>
        <v>24860.94</v>
      </c>
      <c r="O157" s="27">
        <f t="shared" si="27"/>
        <v>4166.489999999998</v>
      </c>
      <c r="P157" s="27">
        <f t="shared" si="28"/>
        <v>20694.45</v>
      </c>
      <c r="Q157" s="28">
        <f t="shared" si="29"/>
        <v>2482164.9700000016</v>
      </c>
      <c r="R157" s="8"/>
      <c r="S157" s="29">
        <f t="shared" si="23"/>
        <v>0</v>
      </c>
      <c r="T157" s="29"/>
    </row>
    <row r="158" spans="1:20" x14ac:dyDescent="0.25">
      <c r="A158" s="8"/>
      <c r="B158" s="36"/>
      <c r="C158" s="8"/>
      <c r="D158" s="8"/>
      <c r="E158" s="8"/>
      <c r="F158" s="24">
        <f t="shared" si="21"/>
        <v>365</v>
      </c>
      <c r="G158" s="25">
        <v>154</v>
      </c>
      <c r="H158" s="26">
        <f t="shared" si="22"/>
        <v>49630</v>
      </c>
      <c r="I158" s="26">
        <f t="shared" si="24"/>
        <v>49660</v>
      </c>
      <c r="J158" s="25">
        <f t="shared" si="20"/>
        <v>13</v>
      </c>
      <c r="K158" s="4"/>
      <c r="L158" s="5"/>
      <c r="M158" s="27">
        <f t="shared" si="25"/>
        <v>2482164.9700000016</v>
      </c>
      <c r="N158" s="27">
        <f t="shared" si="26"/>
        <v>24860.94</v>
      </c>
      <c r="O158" s="27">
        <f t="shared" si="27"/>
        <v>4867.6099999999969</v>
      </c>
      <c r="P158" s="27">
        <f t="shared" si="28"/>
        <v>19993.330000000002</v>
      </c>
      <c r="Q158" s="28">
        <f t="shared" si="29"/>
        <v>2477297.3600000017</v>
      </c>
      <c r="R158" s="8"/>
      <c r="S158" s="29">
        <f t="shared" si="23"/>
        <v>0</v>
      </c>
      <c r="T158" s="29"/>
    </row>
    <row r="159" spans="1:20" x14ac:dyDescent="0.25">
      <c r="A159" s="8"/>
      <c r="B159" s="36"/>
      <c r="C159" s="8"/>
      <c r="D159" s="8"/>
      <c r="E159" s="8"/>
      <c r="F159" s="24">
        <f t="shared" si="21"/>
        <v>366</v>
      </c>
      <c r="G159" s="25">
        <v>155</v>
      </c>
      <c r="H159" s="26">
        <f t="shared" si="22"/>
        <v>49660</v>
      </c>
      <c r="I159" s="26">
        <f t="shared" si="24"/>
        <v>49691</v>
      </c>
      <c r="J159" s="25">
        <f t="shared" si="20"/>
        <v>13</v>
      </c>
      <c r="K159" s="4"/>
      <c r="L159" s="5"/>
      <c r="M159" s="27">
        <f t="shared" si="25"/>
        <v>2477297.3600000017</v>
      </c>
      <c r="N159" s="27">
        <f t="shared" si="26"/>
        <v>24860.94</v>
      </c>
      <c r="O159" s="27">
        <f t="shared" si="27"/>
        <v>4298.0200000000004</v>
      </c>
      <c r="P159" s="27">
        <f t="shared" si="28"/>
        <v>20562.919999999998</v>
      </c>
      <c r="Q159" s="28">
        <f t="shared" si="29"/>
        <v>2472999.3400000017</v>
      </c>
      <c r="R159" s="8"/>
      <c r="S159" s="29">
        <f t="shared" si="23"/>
        <v>0</v>
      </c>
      <c r="T159" s="29"/>
    </row>
    <row r="160" spans="1:20" x14ac:dyDescent="0.25">
      <c r="A160" s="8"/>
      <c r="B160" s="36"/>
      <c r="C160" s="8"/>
      <c r="D160" s="8"/>
      <c r="E160" s="8"/>
      <c r="F160" s="24">
        <f t="shared" si="21"/>
        <v>366</v>
      </c>
      <c r="G160" s="25">
        <v>156</v>
      </c>
      <c r="H160" s="26">
        <f t="shared" si="22"/>
        <v>49691</v>
      </c>
      <c r="I160" s="26">
        <f t="shared" si="24"/>
        <v>49722</v>
      </c>
      <c r="J160" s="25">
        <f t="shared" si="20"/>
        <v>13</v>
      </c>
      <c r="K160" s="4"/>
      <c r="L160" s="5"/>
      <c r="M160" s="27">
        <f t="shared" si="25"/>
        <v>2472999.3400000017</v>
      </c>
      <c r="N160" s="27">
        <f t="shared" si="26"/>
        <v>24860.94</v>
      </c>
      <c r="O160" s="27">
        <f t="shared" si="27"/>
        <v>4333.6899999999987</v>
      </c>
      <c r="P160" s="27">
        <f t="shared" si="28"/>
        <v>20527.25</v>
      </c>
      <c r="Q160" s="28">
        <f t="shared" si="29"/>
        <v>2468665.6500000018</v>
      </c>
      <c r="R160" s="8"/>
      <c r="S160" s="29">
        <f t="shared" si="23"/>
        <v>0</v>
      </c>
      <c r="T160" s="29"/>
    </row>
    <row r="161" spans="1:20" x14ac:dyDescent="0.25">
      <c r="A161" s="8"/>
      <c r="B161" s="36"/>
      <c r="C161" s="8"/>
      <c r="D161" s="8"/>
      <c r="E161" s="8"/>
      <c r="F161" s="24">
        <f t="shared" si="21"/>
        <v>366</v>
      </c>
      <c r="G161" s="25">
        <v>157</v>
      </c>
      <c r="H161" s="26">
        <f t="shared" si="22"/>
        <v>49722</v>
      </c>
      <c r="I161" s="26">
        <f t="shared" si="24"/>
        <v>49751</v>
      </c>
      <c r="J161" s="25">
        <f t="shared" si="20"/>
        <v>14</v>
      </c>
      <c r="K161" s="4"/>
      <c r="L161" s="5"/>
      <c r="M161" s="27">
        <f t="shared" si="25"/>
        <v>2468665.6500000018</v>
      </c>
      <c r="N161" s="27">
        <f t="shared" si="26"/>
        <v>24860.94</v>
      </c>
      <c r="O161" s="27">
        <f t="shared" si="27"/>
        <v>5691.68</v>
      </c>
      <c r="P161" s="27">
        <f t="shared" si="28"/>
        <v>19169.259999999998</v>
      </c>
      <c r="Q161" s="28">
        <f t="shared" si="29"/>
        <v>2462973.9700000016</v>
      </c>
      <c r="R161" s="8"/>
      <c r="S161" s="29">
        <f t="shared" si="23"/>
        <v>0</v>
      </c>
      <c r="T161" s="29"/>
    </row>
    <row r="162" spans="1:20" x14ac:dyDescent="0.25">
      <c r="A162" s="8"/>
      <c r="B162" s="36"/>
      <c r="C162" s="8"/>
      <c r="D162" s="8"/>
      <c r="E162" s="8"/>
      <c r="F162" s="24">
        <f t="shared" si="21"/>
        <v>366</v>
      </c>
      <c r="G162" s="25">
        <v>158</v>
      </c>
      <c r="H162" s="26">
        <f t="shared" si="22"/>
        <v>49751</v>
      </c>
      <c r="I162" s="26">
        <f t="shared" si="24"/>
        <v>49782</v>
      </c>
      <c r="J162" s="25">
        <f t="shared" si="20"/>
        <v>14</v>
      </c>
      <c r="K162" s="4"/>
      <c r="L162" s="5"/>
      <c r="M162" s="27">
        <f t="shared" si="25"/>
        <v>2462973.9700000016</v>
      </c>
      <c r="N162" s="27">
        <f t="shared" si="26"/>
        <v>24860.94</v>
      </c>
      <c r="O162" s="27">
        <f t="shared" si="27"/>
        <v>4416.91</v>
      </c>
      <c r="P162" s="27">
        <f t="shared" si="28"/>
        <v>20444.03</v>
      </c>
      <c r="Q162" s="28">
        <f t="shared" si="29"/>
        <v>2458557.0600000015</v>
      </c>
      <c r="R162" s="8"/>
      <c r="S162" s="29">
        <f t="shared" si="23"/>
        <v>0</v>
      </c>
      <c r="T162" s="29"/>
    </row>
    <row r="163" spans="1:20" x14ac:dyDescent="0.25">
      <c r="A163" s="8"/>
      <c r="B163" s="36"/>
      <c r="C163" s="8"/>
      <c r="D163" s="8"/>
      <c r="E163" s="8"/>
      <c r="F163" s="24">
        <f t="shared" si="21"/>
        <v>366</v>
      </c>
      <c r="G163" s="25">
        <v>159</v>
      </c>
      <c r="H163" s="26">
        <f t="shared" si="22"/>
        <v>49782</v>
      </c>
      <c r="I163" s="26">
        <f t="shared" si="24"/>
        <v>49812</v>
      </c>
      <c r="J163" s="25">
        <f t="shared" si="20"/>
        <v>14</v>
      </c>
      <c r="K163" s="4"/>
      <c r="L163" s="5"/>
      <c r="M163" s="27">
        <f t="shared" si="25"/>
        <v>2458557.0600000015</v>
      </c>
      <c r="N163" s="27">
        <f t="shared" si="26"/>
        <v>24860.94</v>
      </c>
      <c r="O163" s="27">
        <f t="shared" si="27"/>
        <v>5111.8799999999974</v>
      </c>
      <c r="P163" s="27">
        <f t="shared" si="28"/>
        <v>19749.060000000001</v>
      </c>
      <c r="Q163" s="28">
        <f t="shared" si="29"/>
        <v>2453445.1800000016</v>
      </c>
      <c r="R163" s="8"/>
      <c r="S163" s="29">
        <f t="shared" si="23"/>
        <v>0</v>
      </c>
      <c r="T163" s="29"/>
    </row>
    <row r="164" spans="1:20" x14ac:dyDescent="0.25">
      <c r="A164" s="8"/>
      <c r="B164" s="36"/>
      <c r="C164" s="8"/>
      <c r="D164" s="8"/>
      <c r="E164" s="8"/>
      <c r="F164" s="24">
        <f t="shared" si="21"/>
        <v>366</v>
      </c>
      <c r="G164" s="25">
        <v>160</v>
      </c>
      <c r="H164" s="26">
        <f t="shared" si="22"/>
        <v>49812</v>
      </c>
      <c r="I164" s="26">
        <f t="shared" si="24"/>
        <v>49843</v>
      </c>
      <c r="J164" s="25">
        <f t="shared" si="20"/>
        <v>14</v>
      </c>
      <c r="K164" s="4"/>
      <c r="L164" s="5"/>
      <c r="M164" s="27">
        <f t="shared" si="25"/>
        <v>2453445.1800000016</v>
      </c>
      <c r="N164" s="27">
        <f t="shared" si="26"/>
        <v>24860.94</v>
      </c>
      <c r="O164" s="27">
        <f t="shared" si="27"/>
        <v>4496</v>
      </c>
      <c r="P164" s="27">
        <f t="shared" si="28"/>
        <v>20364.939999999999</v>
      </c>
      <c r="Q164" s="28">
        <f t="shared" si="29"/>
        <v>2448949.1800000016</v>
      </c>
      <c r="R164" s="8"/>
      <c r="S164" s="29">
        <f t="shared" si="23"/>
        <v>0</v>
      </c>
      <c r="T164" s="29"/>
    </row>
    <row r="165" spans="1:20" x14ac:dyDescent="0.25">
      <c r="A165" s="8"/>
      <c r="B165" s="36"/>
      <c r="C165" s="8"/>
      <c r="D165" s="8"/>
      <c r="E165" s="8"/>
      <c r="F165" s="24">
        <f t="shared" si="21"/>
        <v>366</v>
      </c>
      <c r="G165" s="25">
        <v>161</v>
      </c>
      <c r="H165" s="26">
        <f t="shared" si="22"/>
        <v>49843</v>
      </c>
      <c r="I165" s="26">
        <f t="shared" si="24"/>
        <v>49873</v>
      </c>
      <c r="J165" s="25">
        <f t="shared" si="20"/>
        <v>14</v>
      </c>
      <c r="K165" s="4"/>
      <c r="L165" s="5"/>
      <c r="M165" s="27">
        <f t="shared" si="25"/>
        <v>2448949.1800000016</v>
      </c>
      <c r="N165" s="27">
        <f t="shared" si="26"/>
        <v>24860.94</v>
      </c>
      <c r="O165" s="27">
        <f t="shared" si="27"/>
        <v>5189.0499999999993</v>
      </c>
      <c r="P165" s="27">
        <f t="shared" si="28"/>
        <v>19671.89</v>
      </c>
      <c r="Q165" s="28">
        <f t="shared" si="29"/>
        <v>2443760.1300000018</v>
      </c>
      <c r="R165" s="8"/>
      <c r="S165" s="29">
        <f t="shared" si="23"/>
        <v>0</v>
      </c>
      <c r="T165" s="29"/>
    </row>
    <row r="166" spans="1:20" x14ac:dyDescent="0.25">
      <c r="A166" s="8"/>
      <c r="B166" s="36"/>
      <c r="C166" s="8"/>
      <c r="D166" s="8"/>
      <c r="E166" s="8"/>
      <c r="F166" s="24">
        <f t="shared" si="21"/>
        <v>366</v>
      </c>
      <c r="G166" s="25">
        <v>162</v>
      </c>
      <c r="H166" s="26">
        <f t="shared" si="22"/>
        <v>49873</v>
      </c>
      <c r="I166" s="26">
        <f t="shared" si="24"/>
        <v>49904</v>
      </c>
      <c r="J166" s="25">
        <f t="shared" si="20"/>
        <v>14</v>
      </c>
      <c r="K166" s="4"/>
      <c r="L166" s="5"/>
      <c r="M166" s="27">
        <f t="shared" si="25"/>
        <v>2443760.1300000018</v>
      </c>
      <c r="N166" s="27">
        <f t="shared" si="26"/>
        <v>24860.94</v>
      </c>
      <c r="O166" s="27">
        <f t="shared" si="27"/>
        <v>4576.3999999999978</v>
      </c>
      <c r="P166" s="27">
        <f t="shared" si="28"/>
        <v>20284.54</v>
      </c>
      <c r="Q166" s="28">
        <f t="shared" si="29"/>
        <v>2439183.7300000018</v>
      </c>
      <c r="R166" s="8"/>
      <c r="S166" s="29">
        <f t="shared" si="23"/>
        <v>0</v>
      </c>
      <c r="T166" s="29"/>
    </row>
    <row r="167" spans="1:20" x14ac:dyDescent="0.25">
      <c r="A167" s="8"/>
      <c r="B167" s="36"/>
      <c r="C167" s="8"/>
      <c r="D167" s="8"/>
      <c r="E167" s="8"/>
      <c r="F167" s="24">
        <f t="shared" si="21"/>
        <v>366</v>
      </c>
      <c r="G167" s="25">
        <v>163</v>
      </c>
      <c r="H167" s="26">
        <f t="shared" si="22"/>
        <v>49904</v>
      </c>
      <c r="I167" s="26">
        <f t="shared" si="24"/>
        <v>49935</v>
      </c>
      <c r="J167" s="25">
        <f t="shared" si="20"/>
        <v>14</v>
      </c>
      <c r="K167" s="4"/>
      <c r="L167" s="5"/>
      <c r="M167" s="27">
        <f t="shared" si="25"/>
        <v>2439183.7300000018</v>
      </c>
      <c r="N167" s="27">
        <f t="shared" si="26"/>
        <v>24860.94</v>
      </c>
      <c r="O167" s="27">
        <f t="shared" si="27"/>
        <v>4614.3799999999974</v>
      </c>
      <c r="P167" s="27">
        <f t="shared" si="28"/>
        <v>20246.560000000001</v>
      </c>
      <c r="Q167" s="28">
        <f t="shared" si="29"/>
        <v>2434569.350000002</v>
      </c>
      <c r="R167" s="8"/>
      <c r="S167" s="29">
        <f t="shared" si="23"/>
        <v>0</v>
      </c>
      <c r="T167" s="29"/>
    </row>
    <row r="168" spans="1:20" x14ac:dyDescent="0.25">
      <c r="A168" s="8"/>
      <c r="B168" s="36"/>
      <c r="C168" s="8"/>
      <c r="D168" s="8"/>
      <c r="E168" s="8"/>
      <c r="F168" s="24">
        <f t="shared" si="21"/>
        <v>366</v>
      </c>
      <c r="G168" s="25">
        <v>164</v>
      </c>
      <c r="H168" s="26">
        <f t="shared" si="22"/>
        <v>49935</v>
      </c>
      <c r="I168" s="26">
        <f t="shared" si="24"/>
        <v>49965</v>
      </c>
      <c r="J168" s="25">
        <f t="shared" si="20"/>
        <v>14</v>
      </c>
      <c r="K168" s="4"/>
      <c r="L168" s="5"/>
      <c r="M168" s="27">
        <f t="shared" si="25"/>
        <v>2434569.350000002</v>
      </c>
      <c r="N168" s="27">
        <f t="shared" si="26"/>
        <v>24860.94</v>
      </c>
      <c r="O168" s="27">
        <f t="shared" si="27"/>
        <v>5304.5599999999977</v>
      </c>
      <c r="P168" s="27">
        <f t="shared" si="28"/>
        <v>19556.38</v>
      </c>
      <c r="Q168" s="28">
        <f t="shared" si="29"/>
        <v>2429264.7900000019</v>
      </c>
      <c r="R168" s="8"/>
      <c r="S168" s="29">
        <f t="shared" si="23"/>
        <v>0</v>
      </c>
      <c r="T168" s="29"/>
    </row>
    <row r="169" spans="1:20" x14ac:dyDescent="0.25">
      <c r="A169" s="8"/>
      <c r="B169" s="36"/>
      <c r="C169" s="8"/>
      <c r="D169" s="8"/>
      <c r="E169" s="8"/>
      <c r="F169" s="24">
        <f t="shared" si="21"/>
        <v>366</v>
      </c>
      <c r="G169" s="25">
        <v>165</v>
      </c>
      <c r="H169" s="26">
        <f t="shared" si="22"/>
        <v>49965</v>
      </c>
      <c r="I169" s="26">
        <f t="shared" si="24"/>
        <v>49996</v>
      </c>
      <c r="J169" s="25">
        <f t="shared" si="20"/>
        <v>14</v>
      </c>
      <c r="K169" s="4"/>
      <c r="L169" s="5"/>
      <c r="M169" s="27">
        <f t="shared" si="25"/>
        <v>2429264.7900000019</v>
      </c>
      <c r="N169" s="27">
        <f t="shared" si="26"/>
        <v>24860.94</v>
      </c>
      <c r="O169" s="27">
        <f t="shared" si="27"/>
        <v>4696.7099999999991</v>
      </c>
      <c r="P169" s="27">
        <f t="shared" si="28"/>
        <v>20164.23</v>
      </c>
      <c r="Q169" s="28">
        <f t="shared" si="29"/>
        <v>2424568.0800000019</v>
      </c>
      <c r="R169" s="8"/>
      <c r="S169" s="29">
        <f t="shared" si="23"/>
        <v>0</v>
      </c>
      <c r="T169" s="29"/>
    </row>
    <row r="170" spans="1:20" x14ac:dyDescent="0.25">
      <c r="A170" s="8"/>
      <c r="B170" s="36"/>
      <c r="C170" s="8"/>
      <c r="D170" s="8"/>
      <c r="E170" s="8"/>
      <c r="F170" s="24">
        <f t="shared" si="21"/>
        <v>366</v>
      </c>
      <c r="G170" s="25">
        <v>166</v>
      </c>
      <c r="H170" s="26">
        <f t="shared" si="22"/>
        <v>49996</v>
      </c>
      <c r="I170" s="26">
        <f t="shared" si="24"/>
        <v>50026</v>
      </c>
      <c r="J170" s="25">
        <f t="shared" si="20"/>
        <v>14</v>
      </c>
      <c r="K170" s="4"/>
      <c r="L170" s="5"/>
      <c r="M170" s="27">
        <f t="shared" si="25"/>
        <v>2424568.0800000019</v>
      </c>
      <c r="N170" s="27">
        <f t="shared" si="26"/>
        <v>24860.94</v>
      </c>
      <c r="O170" s="27">
        <f t="shared" si="27"/>
        <v>5384.8999999999978</v>
      </c>
      <c r="P170" s="27">
        <f t="shared" si="28"/>
        <v>19476.04</v>
      </c>
      <c r="Q170" s="28">
        <f t="shared" si="29"/>
        <v>2419183.180000002</v>
      </c>
      <c r="R170" s="8"/>
      <c r="S170" s="29">
        <f t="shared" si="23"/>
        <v>0</v>
      </c>
      <c r="T170" s="29"/>
    </row>
    <row r="171" spans="1:20" x14ac:dyDescent="0.25">
      <c r="A171" s="8"/>
      <c r="B171" s="36"/>
      <c r="C171" s="8"/>
      <c r="D171" s="8"/>
      <c r="E171" s="8"/>
      <c r="F171" s="24">
        <f t="shared" si="21"/>
        <v>365</v>
      </c>
      <c r="G171" s="25">
        <v>167</v>
      </c>
      <c r="H171" s="26">
        <f t="shared" si="22"/>
        <v>50026</v>
      </c>
      <c r="I171" s="26">
        <f t="shared" si="24"/>
        <v>50057</v>
      </c>
      <c r="J171" s="25">
        <f t="shared" si="20"/>
        <v>14</v>
      </c>
      <c r="K171" s="4"/>
      <c r="L171" s="5"/>
      <c r="M171" s="27">
        <f t="shared" si="25"/>
        <v>2419183.180000002</v>
      </c>
      <c r="N171" s="27">
        <f t="shared" si="26"/>
        <v>24860.94</v>
      </c>
      <c r="O171" s="27">
        <f t="shared" si="27"/>
        <v>4725.3799999999974</v>
      </c>
      <c r="P171" s="27">
        <f t="shared" si="28"/>
        <v>20135.560000000001</v>
      </c>
      <c r="Q171" s="28">
        <f t="shared" si="29"/>
        <v>2414457.8000000021</v>
      </c>
      <c r="R171" s="8"/>
      <c r="S171" s="29">
        <f t="shared" si="23"/>
        <v>0</v>
      </c>
      <c r="T171" s="29"/>
    </row>
    <row r="172" spans="1:20" x14ac:dyDescent="0.25">
      <c r="A172" s="8"/>
      <c r="B172" s="36"/>
      <c r="C172" s="8"/>
      <c r="D172" s="8"/>
      <c r="E172" s="8"/>
      <c r="F172" s="24">
        <f t="shared" si="21"/>
        <v>365</v>
      </c>
      <c r="G172" s="25">
        <v>168</v>
      </c>
      <c r="H172" s="26">
        <f t="shared" si="22"/>
        <v>50057</v>
      </c>
      <c r="I172" s="26">
        <f t="shared" si="24"/>
        <v>50088</v>
      </c>
      <c r="J172" s="25">
        <f t="shared" si="20"/>
        <v>14</v>
      </c>
      <c r="K172" s="4"/>
      <c r="L172" s="5"/>
      <c r="M172" s="27">
        <f t="shared" si="25"/>
        <v>2414457.8000000021</v>
      </c>
      <c r="N172" s="27">
        <f t="shared" si="26"/>
        <v>24860.94</v>
      </c>
      <c r="O172" s="27">
        <f t="shared" si="27"/>
        <v>4764.7099999999991</v>
      </c>
      <c r="P172" s="27">
        <f t="shared" si="28"/>
        <v>20096.23</v>
      </c>
      <c r="Q172" s="28">
        <f t="shared" si="29"/>
        <v>2409693.0900000022</v>
      </c>
      <c r="R172" s="8"/>
      <c r="S172" s="29">
        <f t="shared" si="23"/>
        <v>0</v>
      </c>
      <c r="T172" s="29"/>
    </row>
    <row r="173" spans="1:20" x14ac:dyDescent="0.25">
      <c r="A173" s="8"/>
      <c r="B173" s="36"/>
      <c r="C173" s="8"/>
      <c r="D173" s="8"/>
      <c r="E173" s="8"/>
      <c r="F173" s="24">
        <f t="shared" si="21"/>
        <v>365</v>
      </c>
      <c r="G173" s="25">
        <v>169</v>
      </c>
      <c r="H173" s="26">
        <f t="shared" si="22"/>
        <v>50088</v>
      </c>
      <c r="I173" s="26">
        <f t="shared" si="24"/>
        <v>50116</v>
      </c>
      <c r="J173" s="25">
        <f t="shared" si="20"/>
        <v>15</v>
      </c>
      <c r="K173" s="4"/>
      <c r="L173" s="5"/>
      <c r="M173" s="27">
        <f t="shared" si="25"/>
        <v>2409693.0900000022</v>
      </c>
      <c r="N173" s="27">
        <f t="shared" si="26"/>
        <v>24860.94</v>
      </c>
      <c r="O173" s="27">
        <f t="shared" si="27"/>
        <v>6745.3299999999981</v>
      </c>
      <c r="P173" s="27">
        <f t="shared" si="28"/>
        <v>18115.61</v>
      </c>
      <c r="Q173" s="28">
        <f t="shared" si="29"/>
        <v>2402947.7600000021</v>
      </c>
      <c r="R173" s="8"/>
      <c r="S173" s="29">
        <f t="shared" si="23"/>
        <v>0</v>
      </c>
      <c r="T173" s="29"/>
    </row>
    <row r="174" spans="1:20" x14ac:dyDescent="0.25">
      <c r="A174" s="8"/>
      <c r="B174" s="36"/>
      <c r="C174" s="8"/>
      <c r="D174" s="8"/>
      <c r="E174" s="8"/>
      <c r="F174" s="24">
        <f t="shared" si="21"/>
        <v>365</v>
      </c>
      <c r="G174" s="25">
        <v>170</v>
      </c>
      <c r="H174" s="26">
        <f t="shared" si="22"/>
        <v>50116</v>
      </c>
      <c r="I174" s="26">
        <f t="shared" si="24"/>
        <v>50147</v>
      </c>
      <c r="J174" s="25">
        <f t="shared" si="20"/>
        <v>15</v>
      </c>
      <c r="K174" s="4"/>
      <c r="L174" s="5"/>
      <c r="M174" s="27">
        <f t="shared" si="25"/>
        <v>2402947.7600000021</v>
      </c>
      <c r="N174" s="27">
        <f t="shared" si="26"/>
        <v>24860.94</v>
      </c>
      <c r="O174" s="27">
        <f t="shared" si="27"/>
        <v>4860.5099999999984</v>
      </c>
      <c r="P174" s="27">
        <f t="shared" si="28"/>
        <v>20000.43</v>
      </c>
      <c r="Q174" s="28">
        <f t="shared" si="29"/>
        <v>2398087.2500000023</v>
      </c>
      <c r="R174" s="8"/>
      <c r="S174" s="29">
        <f t="shared" si="23"/>
        <v>0</v>
      </c>
      <c r="T174" s="29"/>
    </row>
    <row r="175" spans="1:20" x14ac:dyDescent="0.25">
      <c r="A175" s="8"/>
      <c r="B175" s="36"/>
      <c r="C175" s="8"/>
      <c r="D175" s="8"/>
      <c r="E175" s="8"/>
      <c r="F175" s="24">
        <f t="shared" si="21"/>
        <v>365</v>
      </c>
      <c r="G175" s="25">
        <v>171</v>
      </c>
      <c r="H175" s="26">
        <f t="shared" si="22"/>
        <v>50147</v>
      </c>
      <c r="I175" s="26">
        <f t="shared" si="24"/>
        <v>50177</v>
      </c>
      <c r="J175" s="25">
        <f t="shared" si="20"/>
        <v>15</v>
      </c>
      <c r="K175" s="4"/>
      <c r="L175" s="5"/>
      <c r="M175" s="27">
        <f t="shared" si="25"/>
        <v>2398087.2500000023</v>
      </c>
      <c r="N175" s="27">
        <f t="shared" si="26"/>
        <v>24860.94</v>
      </c>
      <c r="O175" s="27">
        <f t="shared" si="27"/>
        <v>5544.84</v>
      </c>
      <c r="P175" s="27">
        <f t="shared" si="28"/>
        <v>19316.099999999999</v>
      </c>
      <c r="Q175" s="28">
        <f t="shared" si="29"/>
        <v>2392542.4100000025</v>
      </c>
      <c r="R175" s="8"/>
      <c r="S175" s="29">
        <f t="shared" si="23"/>
        <v>0</v>
      </c>
      <c r="T175" s="29"/>
    </row>
    <row r="176" spans="1:20" x14ac:dyDescent="0.25">
      <c r="A176" s="8"/>
      <c r="B176" s="36"/>
      <c r="C176" s="8"/>
      <c r="D176" s="8"/>
      <c r="E176" s="8"/>
      <c r="F176" s="24">
        <f t="shared" si="21"/>
        <v>365</v>
      </c>
      <c r="G176" s="25">
        <v>172</v>
      </c>
      <c r="H176" s="26">
        <f t="shared" si="22"/>
        <v>50177</v>
      </c>
      <c r="I176" s="26">
        <f t="shared" si="24"/>
        <v>50208</v>
      </c>
      <c r="J176" s="25">
        <f t="shared" si="20"/>
        <v>15</v>
      </c>
      <c r="K176" s="4"/>
      <c r="L176" s="5"/>
      <c r="M176" s="27">
        <f t="shared" si="25"/>
        <v>2392542.4100000025</v>
      </c>
      <c r="N176" s="27">
        <f t="shared" si="26"/>
        <v>24860.94</v>
      </c>
      <c r="O176" s="27">
        <f t="shared" si="27"/>
        <v>4947.119999999999</v>
      </c>
      <c r="P176" s="27">
        <f t="shared" si="28"/>
        <v>19913.82</v>
      </c>
      <c r="Q176" s="28">
        <f t="shared" si="29"/>
        <v>2387595.2900000024</v>
      </c>
      <c r="R176" s="8"/>
      <c r="S176" s="29">
        <f t="shared" si="23"/>
        <v>0</v>
      </c>
      <c r="T176" s="29"/>
    </row>
    <row r="177" spans="1:20" x14ac:dyDescent="0.25">
      <c r="A177" s="8"/>
      <c r="B177" s="36"/>
      <c r="C177" s="8"/>
      <c r="D177" s="8"/>
      <c r="E177" s="8"/>
      <c r="F177" s="24">
        <f t="shared" si="21"/>
        <v>365</v>
      </c>
      <c r="G177" s="25">
        <v>173</v>
      </c>
      <c r="H177" s="26">
        <f t="shared" si="22"/>
        <v>50208</v>
      </c>
      <c r="I177" s="26">
        <f t="shared" si="24"/>
        <v>50238</v>
      </c>
      <c r="J177" s="25">
        <f t="shared" si="20"/>
        <v>15</v>
      </c>
      <c r="K177" s="4"/>
      <c r="L177" s="5"/>
      <c r="M177" s="27">
        <f t="shared" si="25"/>
        <v>2387595.2900000024</v>
      </c>
      <c r="N177" s="27">
        <f t="shared" si="26"/>
        <v>24860.94</v>
      </c>
      <c r="O177" s="27">
        <f t="shared" si="27"/>
        <v>5629.3499999999985</v>
      </c>
      <c r="P177" s="27">
        <f t="shared" si="28"/>
        <v>19231.59</v>
      </c>
      <c r="Q177" s="28">
        <f t="shared" si="29"/>
        <v>2381965.9400000023</v>
      </c>
      <c r="R177" s="8"/>
      <c r="S177" s="29">
        <f t="shared" si="23"/>
        <v>0</v>
      </c>
      <c r="T177" s="29"/>
    </row>
    <row r="178" spans="1:20" x14ac:dyDescent="0.25">
      <c r="A178" s="8"/>
      <c r="B178" s="36"/>
      <c r="C178" s="8"/>
      <c r="D178" s="8"/>
      <c r="E178" s="8"/>
      <c r="F178" s="24">
        <f t="shared" si="21"/>
        <v>365</v>
      </c>
      <c r="G178" s="25">
        <v>174</v>
      </c>
      <c r="H178" s="26">
        <f t="shared" si="22"/>
        <v>50238</v>
      </c>
      <c r="I178" s="26">
        <f t="shared" si="24"/>
        <v>50269</v>
      </c>
      <c r="J178" s="25">
        <f t="shared" si="20"/>
        <v>15</v>
      </c>
      <c r="K178" s="4"/>
      <c r="L178" s="5"/>
      <c r="M178" s="27">
        <f t="shared" si="25"/>
        <v>2381965.9400000023</v>
      </c>
      <c r="N178" s="27">
        <f t="shared" si="26"/>
        <v>24860.94</v>
      </c>
      <c r="O178" s="27">
        <f t="shared" si="27"/>
        <v>5035.1499999999978</v>
      </c>
      <c r="P178" s="27">
        <f t="shared" si="28"/>
        <v>19825.79</v>
      </c>
      <c r="Q178" s="28">
        <f t="shared" si="29"/>
        <v>2376930.7900000024</v>
      </c>
      <c r="R178" s="8"/>
      <c r="S178" s="29">
        <f t="shared" si="23"/>
        <v>0</v>
      </c>
      <c r="T178" s="29"/>
    </row>
    <row r="179" spans="1:20" x14ac:dyDescent="0.25">
      <c r="A179" s="8"/>
      <c r="B179" s="36"/>
      <c r="C179" s="8"/>
      <c r="D179" s="8"/>
      <c r="E179" s="8"/>
      <c r="F179" s="24">
        <f t="shared" si="21"/>
        <v>365</v>
      </c>
      <c r="G179" s="25">
        <v>175</v>
      </c>
      <c r="H179" s="26">
        <f t="shared" si="22"/>
        <v>50269</v>
      </c>
      <c r="I179" s="26">
        <f t="shared" si="24"/>
        <v>50300</v>
      </c>
      <c r="J179" s="25">
        <f t="shared" si="20"/>
        <v>15</v>
      </c>
      <c r="K179" s="4"/>
      <c r="L179" s="5"/>
      <c r="M179" s="27">
        <f t="shared" si="25"/>
        <v>2376930.7900000024</v>
      </c>
      <c r="N179" s="27">
        <f t="shared" si="26"/>
        <v>24860.94</v>
      </c>
      <c r="O179" s="27">
        <f t="shared" si="27"/>
        <v>5077.0599999999977</v>
      </c>
      <c r="P179" s="27">
        <f t="shared" si="28"/>
        <v>19783.88</v>
      </c>
      <c r="Q179" s="28">
        <f t="shared" si="29"/>
        <v>2371853.7300000023</v>
      </c>
      <c r="R179" s="8"/>
      <c r="S179" s="29">
        <f t="shared" si="23"/>
        <v>0</v>
      </c>
      <c r="T179" s="29"/>
    </row>
    <row r="180" spans="1:20" x14ac:dyDescent="0.25">
      <c r="A180" s="8"/>
      <c r="B180" s="36"/>
      <c r="C180" s="8"/>
      <c r="D180" s="8"/>
      <c r="E180" s="8"/>
      <c r="F180" s="24">
        <f t="shared" si="21"/>
        <v>365</v>
      </c>
      <c r="G180" s="25">
        <v>176</v>
      </c>
      <c r="H180" s="26">
        <f t="shared" si="22"/>
        <v>50300</v>
      </c>
      <c r="I180" s="26">
        <f t="shared" si="24"/>
        <v>50330</v>
      </c>
      <c r="J180" s="25">
        <f t="shared" si="20"/>
        <v>15</v>
      </c>
      <c r="K180" s="4"/>
      <c r="L180" s="5"/>
      <c r="M180" s="27">
        <f t="shared" si="25"/>
        <v>2371853.7300000023</v>
      </c>
      <c r="N180" s="27">
        <f t="shared" si="26"/>
        <v>24860.94</v>
      </c>
      <c r="O180" s="27">
        <f t="shared" si="27"/>
        <v>5756.1499999999978</v>
      </c>
      <c r="P180" s="27">
        <f t="shared" si="28"/>
        <v>19104.79</v>
      </c>
      <c r="Q180" s="28">
        <f t="shared" si="29"/>
        <v>2366097.5800000024</v>
      </c>
      <c r="R180" s="8"/>
      <c r="S180" s="29">
        <f t="shared" si="23"/>
        <v>0</v>
      </c>
      <c r="T180" s="29"/>
    </row>
    <row r="181" spans="1:20" x14ac:dyDescent="0.25">
      <c r="A181" s="8"/>
      <c r="B181" s="36"/>
      <c r="C181" s="8"/>
      <c r="D181" s="8"/>
      <c r="E181" s="8"/>
      <c r="F181" s="24">
        <f t="shared" si="21"/>
        <v>365</v>
      </c>
      <c r="G181" s="25">
        <v>177</v>
      </c>
      <c r="H181" s="26">
        <f t="shared" si="22"/>
        <v>50330</v>
      </c>
      <c r="I181" s="26">
        <f t="shared" si="24"/>
        <v>50361</v>
      </c>
      <c r="J181" s="25">
        <f t="shared" si="20"/>
        <v>15</v>
      </c>
      <c r="K181" s="4"/>
      <c r="L181" s="5"/>
      <c r="M181" s="27">
        <f t="shared" si="25"/>
        <v>2366097.5800000024</v>
      </c>
      <c r="N181" s="27">
        <f t="shared" si="26"/>
        <v>24860.94</v>
      </c>
      <c r="O181" s="27">
        <f t="shared" si="27"/>
        <v>5167.2299999999996</v>
      </c>
      <c r="P181" s="27">
        <f t="shared" si="28"/>
        <v>19693.71</v>
      </c>
      <c r="Q181" s="28">
        <f t="shared" si="29"/>
        <v>2360930.3500000024</v>
      </c>
      <c r="R181" s="8"/>
      <c r="S181" s="29">
        <f t="shared" si="23"/>
        <v>0</v>
      </c>
      <c r="T181" s="29"/>
    </row>
    <row r="182" spans="1:20" x14ac:dyDescent="0.25">
      <c r="A182" s="8"/>
      <c r="B182" s="36"/>
      <c r="C182" s="8"/>
      <c r="D182" s="8"/>
      <c r="E182" s="8"/>
      <c r="F182" s="24">
        <f t="shared" si="21"/>
        <v>365</v>
      </c>
      <c r="G182" s="25">
        <v>178</v>
      </c>
      <c r="H182" s="26">
        <f t="shared" si="22"/>
        <v>50361</v>
      </c>
      <c r="I182" s="26">
        <f t="shared" si="24"/>
        <v>50391</v>
      </c>
      <c r="J182" s="25">
        <f t="shared" si="20"/>
        <v>15</v>
      </c>
      <c r="K182" s="4"/>
      <c r="L182" s="5"/>
      <c r="M182" s="27">
        <f t="shared" si="25"/>
        <v>2360930.3500000024</v>
      </c>
      <c r="N182" s="27">
        <f t="shared" si="26"/>
        <v>24860.94</v>
      </c>
      <c r="O182" s="27">
        <f t="shared" si="27"/>
        <v>5844.1299999999974</v>
      </c>
      <c r="P182" s="27">
        <f t="shared" si="28"/>
        <v>19016.810000000001</v>
      </c>
      <c r="Q182" s="28">
        <f t="shared" si="29"/>
        <v>2355086.2200000025</v>
      </c>
      <c r="R182" s="8"/>
      <c r="S182" s="29">
        <f t="shared" si="23"/>
        <v>0</v>
      </c>
      <c r="T182" s="29"/>
    </row>
    <row r="183" spans="1:20" x14ac:dyDescent="0.25">
      <c r="A183" s="8"/>
      <c r="B183" s="36"/>
      <c r="C183" s="8"/>
      <c r="D183" s="8"/>
      <c r="E183" s="8"/>
      <c r="F183" s="24">
        <f t="shared" si="21"/>
        <v>365</v>
      </c>
      <c r="G183" s="25">
        <v>179</v>
      </c>
      <c r="H183" s="26">
        <f t="shared" si="22"/>
        <v>50391</v>
      </c>
      <c r="I183" s="26">
        <f t="shared" si="24"/>
        <v>50422</v>
      </c>
      <c r="J183" s="25">
        <f t="shared" si="20"/>
        <v>15</v>
      </c>
      <c r="K183" s="4"/>
      <c r="L183" s="5"/>
      <c r="M183" s="27">
        <f t="shared" si="25"/>
        <v>2355086.2200000025</v>
      </c>
      <c r="N183" s="27">
        <f t="shared" si="26"/>
        <v>24860.94</v>
      </c>
      <c r="O183" s="27">
        <f t="shared" si="27"/>
        <v>5258.8799999999974</v>
      </c>
      <c r="P183" s="27">
        <f t="shared" si="28"/>
        <v>19602.060000000001</v>
      </c>
      <c r="Q183" s="28">
        <f t="shared" si="29"/>
        <v>2349827.3400000026</v>
      </c>
      <c r="R183" s="8"/>
      <c r="S183" s="29">
        <f t="shared" si="23"/>
        <v>0</v>
      </c>
      <c r="T183" s="29"/>
    </row>
    <row r="184" spans="1:20" x14ac:dyDescent="0.25">
      <c r="A184" s="8"/>
      <c r="B184" s="36"/>
      <c r="C184" s="8"/>
      <c r="D184" s="8"/>
      <c r="E184" s="8"/>
      <c r="F184" s="24">
        <f t="shared" si="21"/>
        <v>365</v>
      </c>
      <c r="G184" s="25">
        <v>180</v>
      </c>
      <c r="H184" s="26">
        <f t="shared" si="22"/>
        <v>50422</v>
      </c>
      <c r="I184" s="26">
        <f t="shared" si="24"/>
        <v>50453</v>
      </c>
      <c r="J184" s="25">
        <f t="shared" si="20"/>
        <v>15</v>
      </c>
      <c r="K184" s="4"/>
      <c r="L184" s="5"/>
      <c r="M184" s="27">
        <f t="shared" si="25"/>
        <v>2349827.3400000026</v>
      </c>
      <c r="N184" s="27">
        <f t="shared" si="26"/>
        <v>24860.94</v>
      </c>
      <c r="O184" s="27">
        <f t="shared" si="27"/>
        <v>5302.6499999999978</v>
      </c>
      <c r="P184" s="27">
        <f t="shared" si="28"/>
        <v>19558.29</v>
      </c>
      <c r="Q184" s="28">
        <f t="shared" si="29"/>
        <v>2344524.6900000027</v>
      </c>
      <c r="R184" s="8"/>
      <c r="S184" s="29">
        <f t="shared" si="23"/>
        <v>0</v>
      </c>
      <c r="T184" s="29"/>
    </row>
    <row r="185" spans="1:20" x14ac:dyDescent="0.25">
      <c r="A185" s="8"/>
      <c r="B185" s="36"/>
      <c r="C185" s="8"/>
      <c r="D185" s="8"/>
      <c r="E185" s="8"/>
      <c r="F185" s="24">
        <f t="shared" si="21"/>
        <v>365</v>
      </c>
      <c r="G185" s="25">
        <v>181</v>
      </c>
      <c r="H185" s="26">
        <f t="shared" si="22"/>
        <v>50453</v>
      </c>
      <c r="I185" s="26">
        <f t="shared" si="24"/>
        <v>50481</v>
      </c>
      <c r="J185" s="25">
        <f t="shared" si="20"/>
        <v>16</v>
      </c>
      <c r="K185" s="4"/>
      <c r="L185" s="5"/>
      <c r="M185" s="27">
        <f t="shared" si="25"/>
        <v>2344524.6900000027</v>
      </c>
      <c r="N185" s="27">
        <f t="shared" si="26"/>
        <v>24860.94</v>
      </c>
      <c r="O185" s="27">
        <f t="shared" si="27"/>
        <v>7235.25</v>
      </c>
      <c r="P185" s="27">
        <f t="shared" si="28"/>
        <v>17625.689999999999</v>
      </c>
      <c r="Q185" s="28">
        <f t="shared" si="29"/>
        <v>2337289.4400000027</v>
      </c>
      <c r="R185" s="8"/>
      <c r="S185" s="29">
        <f t="shared" si="23"/>
        <v>0</v>
      </c>
      <c r="T185" s="29"/>
    </row>
    <row r="186" spans="1:20" x14ac:dyDescent="0.25">
      <c r="A186" s="8"/>
      <c r="B186" s="36"/>
      <c r="C186" s="8"/>
      <c r="D186" s="8"/>
      <c r="E186" s="8"/>
      <c r="F186" s="24">
        <f t="shared" si="21"/>
        <v>365</v>
      </c>
      <c r="G186" s="25">
        <v>182</v>
      </c>
      <c r="H186" s="26">
        <f t="shared" si="22"/>
        <v>50481</v>
      </c>
      <c r="I186" s="26">
        <f t="shared" si="24"/>
        <v>50512</v>
      </c>
      <c r="J186" s="25">
        <f t="shared" si="20"/>
        <v>16</v>
      </c>
      <c r="K186" s="4"/>
      <c r="L186" s="5"/>
      <c r="M186" s="27">
        <f t="shared" si="25"/>
        <v>2337289.4400000027</v>
      </c>
      <c r="N186" s="27">
        <f t="shared" si="26"/>
        <v>24860.94</v>
      </c>
      <c r="O186" s="27">
        <f t="shared" si="27"/>
        <v>5407.0099999999984</v>
      </c>
      <c r="P186" s="27">
        <f t="shared" si="28"/>
        <v>19453.93</v>
      </c>
      <c r="Q186" s="28">
        <f t="shared" si="29"/>
        <v>2331882.430000003</v>
      </c>
      <c r="R186" s="8"/>
      <c r="S186" s="29">
        <f t="shared" si="23"/>
        <v>0</v>
      </c>
      <c r="T186" s="29"/>
    </row>
    <row r="187" spans="1:20" x14ac:dyDescent="0.25">
      <c r="A187" s="8"/>
      <c r="B187" s="36"/>
      <c r="C187" s="8"/>
      <c r="D187" s="8"/>
      <c r="E187" s="8"/>
      <c r="F187" s="24">
        <f t="shared" si="21"/>
        <v>365</v>
      </c>
      <c r="G187" s="25">
        <v>183</v>
      </c>
      <c r="H187" s="26">
        <f t="shared" si="22"/>
        <v>50512</v>
      </c>
      <c r="I187" s="26">
        <f t="shared" si="24"/>
        <v>50542</v>
      </c>
      <c r="J187" s="25">
        <f t="shared" si="20"/>
        <v>16</v>
      </c>
      <c r="K187" s="4"/>
      <c r="L187" s="5"/>
      <c r="M187" s="27">
        <f t="shared" si="25"/>
        <v>2331882.430000003</v>
      </c>
      <c r="N187" s="27">
        <f t="shared" si="26"/>
        <v>24860.94</v>
      </c>
      <c r="O187" s="27">
        <f t="shared" si="27"/>
        <v>6078.1099999999969</v>
      </c>
      <c r="P187" s="27">
        <f t="shared" si="28"/>
        <v>18782.830000000002</v>
      </c>
      <c r="Q187" s="28">
        <f t="shared" si="29"/>
        <v>2325804.3200000031</v>
      </c>
      <c r="R187" s="8"/>
      <c r="S187" s="29">
        <f t="shared" si="23"/>
        <v>0</v>
      </c>
      <c r="T187" s="29"/>
    </row>
    <row r="188" spans="1:20" x14ac:dyDescent="0.25">
      <c r="A188" s="8"/>
      <c r="B188" s="36"/>
      <c r="C188" s="8"/>
      <c r="D188" s="8"/>
      <c r="E188" s="8"/>
      <c r="F188" s="24">
        <f t="shared" si="21"/>
        <v>365</v>
      </c>
      <c r="G188" s="25">
        <v>184</v>
      </c>
      <c r="H188" s="26">
        <f t="shared" si="22"/>
        <v>50542</v>
      </c>
      <c r="I188" s="26">
        <f t="shared" si="24"/>
        <v>50573</v>
      </c>
      <c r="J188" s="25">
        <f t="shared" si="20"/>
        <v>16</v>
      </c>
      <c r="K188" s="4"/>
      <c r="L188" s="5"/>
      <c r="M188" s="27">
        <f t="shared" si="25"/>
        <v>2325804.3200000031</v>
      </c>
      <c r="N188" s="27">
        <f t="shared" si="26"/>
        <v>24860.94</v>
      </c>
      <c r="O188" s="27">
        <f t="shared" si="27"/>
        <v>5502.5999999999985</v>
      </c>
      <c r="P188" s="27">
        <f t="shared" si="28"/>
        <v>19358.34</v>
      </c>
      <c r="Q188" s="28">
        <f t="shared" si="29"/>
        <v>2320301.720000003</v>
      </c>
      <c r="R188" s="8"/>
      <c r="S188" s="29">
        <f t="shared" si="23"/>
        <v>0</v>
      </c>
      <c r="T188" s="29"/>
    </row>
    <row r="189" spans="1:20" x14ac:dyDescent="0.25">
      <c r="A189" s="8"/>
      <c r="B189" s="36"/>
      <c r="C189" s="8"/>
      <c r="D189" s="8"/>
      <c r="E189" s="8"/>
      <c r="F189" s="24">
        <f t="shared" si="21"/>
        <v>365</v>
      </c>
      <c r="G189" s="25">
        <v>185</v>
      </c>
      <c r="H189" s="26">
        <f t="shared" si="22"/>
        <v>50573</v>
      </c>
      <c r="I189" s="26">
        <f t="shared" si="24"/>
        <v>50603</v>
      </c>
      <c r="J189" s="25">
        <f t="shared" si="20"/>
        <v>16</v>
      </c>
      <c r="K189" s="4"/>
      <c r="L189" s="5"/>
      <c r="M189" s="27">
        <f t="shared" si="25"/>
        <v>2320301.720000003</v>
      </c>
      <c r="N189" s="27">
        <f t="shared" si="26"/>
        <v>24860.94</v>
      </c>
      <c r="O189" s="27">
        <f t="shared" si="27"/>
        <v>6171.3899999999994</v>
      </c>
      <c r="P189" s="27">
        <f t="shared" si="28"/>
        <v>18689.55</v>
      </c>
      <c r="Q189" s="28">
        <f t="shared" si="29"/>
        <v>2314130.3300000029</v>
      </c>
      <c r="R189" s="8"/>
      <c r="S189" s="29">
        <f t="shared" si="23"/>
        <v>0</v>
      </c>
      <c r="T189" s="29"/>
    </row>
    <row r="190" spans="1:20" x14ac:dyDescent="0.25">
      <c r="A190" s="8"/>
      <c r="B190" s="36"/>
      <c r="C190" s="8"/>
      <c r="D190" s="8"/>
      <c r="E190" s="8"/>
      <c r="F190" s="24">
        <f t="shared" si="21"/>
        <v>365</v>
      </c>
      <c r="G190" s="25">
        <v>186</v>
      </c>
      <c r="H190" s="26">
        <f t="shared" si="22"/>
        <v>50603</v>
      </c>
      <c r="I190" s="26">
        <f t="shared" si="24"/>
        <v>50634</v>
      </c>
      <c r="J190" s="25">
        <f t="shared" si="20"/>
        <v>16</v>
      </c>
      <c r="K190" s="4"/>
      <c r="L190" s="5"/>
      <c r="M190" s="27">
        <f t="shared" si="25"/>
        <v>2314130.3300000029</v>
      </c>
      <c r="N190" s="27">
        <f t="shared" si="26"/>
        <v>24860.94</v>
      </c>
      <c r="O190" s="27">
        <f t="shared" si="27"/>
        <v>5599.77</v>
      </c>
      <c r="P190" s="27">
        <f t="shared" si="28"/>
        <v>19261.169999999998</v>
      </c>
      <c r="Q190" s="28">
        <f t="shared" si="29"/>
        <v>2308530.5600000028</v>
      </c>
      <c r="R190" s="8"/>
      <c r="S190" s="29">
        <f t="shared" si="23"/>
        <v>0</v>
      </c>
      <c r="T190" s="29"/>
    </row>
    <row r="191" spans="1:20" x14ac:dyDescent="0.25">
      <c r="A191" s="8"/>
      <c r="B191" s="36"/>
      <c r="C191" s="8"/>
      <c r="D191" s="8"/>
      <c r="E191" s="8"/>
      <c r="F191" s="24">
        <f t="shared" si="21"/>
        <v>365</v>
      </c>
      <c r="G191" s="25">
        <v>187</v>
      </c>
      <c r="H191" s="26">
        <f t="shared" si="22"/>
        <v>50634</v>
      </c>
      <c r="I191" s="26">
        <f t="shared" si="24"/>
        <v>50665</v>
      </c>
      <c r="J191" s="25">
        <f t="shared" si="20"/>
        <v>16</v>
      </c>
      <c r="K191" s="4"/>
      <c r="L191" s="5"/>
      <c r="M191" s="27">
        <f t="shared" si="25"/>
        <v>2308530.5600000028</v>
      </c>
      <c r="N191" s="27">
        <f t="shared" si="26"/>
        <v>24860.94</v>
      </c>
      <c r="O191" s="27">
        <f t="shared" si="27"/>
        <v>5646.3799999999974</v>
      </c>
      <c r="P191" s="27">
        <f t="shared" si="28"/>
        <v>19214.560000000001</v>
      </c>
      <c r="Q191" s="28">
        <f t="shared" si="29"/>
        <v>2302884.180000003</v>
      </c>
      <c r="R191" s="8"/>
      <c r="S191" s="29">
        <f t="shared" si="23"/>
        <v>0</v>
      </c>
      <c r="T191" s="29"/>
    </row>
    <row r="192" spans="1:20" x14ac:dyDescent="0.25">
      <c r="A192" s="8"/>
      <c r="B192" s="36"/>
      <c r="C192" s="8"/>
      <c r="D192" s="8"/>
      <c r="E192" s="8"/>
      <c r="F192" s="24">
        <f t="shared" si="21"/>
        <v>365</v>
      </c>
      <c r="G192" s="25">
        <v>188</v>
      </c>
      <c r="H192" s="26">
        <f t="shared" si="22"/>
        <v>50665</v>
      </c>
      <c r="I192" s="26">
        <f t="shared" si="24"/>
        <v>50695</v>
      </c>
      <c r="J192" s="25">
        <f t="shared" si="20"/>
        <v>16</v>
      </c>
      <c r="K192" s="4"/>
      <c r="L192" s="5"/>
      <c r="M192" s="27">
        <f t="shared" si="25"/>
        <v>2302884.180000003</v>
      </c>
      <c r="N192" s="27">
        <f t="shared" si="26"/>
        <v>24860.94</v>
      </c>
      <c r="O192" s="27">
        <f t="shared" si="27"/>
        <v>6311.68</v>
      </c>
      <c r="P192" s="27">
        <f t="shared" si="28"/>
        <v>18549.259999999998</v>
      </c>
      <c r="Q192" s="28">
        <f t="shared" si="29"/>
        <v>2296572.5000000028</v>
      </c>
      <c r="R192" s="8"/>
      <c r="S192" s="29">
        <f t="shared" si="23"/>
        <v>0</v>
      </c>
      <c r="T192" s="29"/>
    </row>
    <row r="193" spans="1:20" x14ac:dyDescent="0.25">
      <c r="A193" s="8"/>
      <c r="B193" s="36"/>
      <c r="C193" s="8"/>
      <c r="D193" s="8"/>
      <c r="E193" s="8"/>
      <c r="F193" s="24">
        <f t="shared" si="21"/>
        <v>365</v>
      </c>
      <c r="G193" s="25">
        <v>189</v>
      </c>
      <c r="H193" s="26">
        <f t="shared" si="22"/>
        <v>50695</v>
      </c>
      <c r="I193" s="26">
        <f t="shared" si="24"/>
        <v>50726</v>
      </c>
      <c r="J193" s="25">
        <f t="shared" si="20"/>
        <v>16</v>
      </c>
      <c r="K193" s="4"/>
      <c r="L193" s="5"/>
      <c r="M193" s="27">
        <f t="shared" si="25"/>
        <v>2296572.5000000028</v>
      </c>
      <c r="N193" s="27">
        <f t="shared" si="26"/>
        <v>24860.94</v>
      </c>
      <c r="O193" s="27">
        <f t="shared" si="27"/>
        <v>5745.91</v>
      </c>
      <c r="P193" s="27">
        <f t="shared" si="28"/>
        <v>19115.03</v>
      </c>
      <c r="Q193" s="28">
        <f t="shared" si="29"/>
        <v>2290826.5900000026</v>
      </c>
      <c r="R193" s="8"/>
      <c r="S193" s="29">
        <f t="shared" si="23"/>
        <v>0</v>
      </c>
      <c r="T193" s="29"/>
    </row>
    <row r="194" spans="1:20" x14ac:dyDescent="0.25">
      <c r="A194" s="8"/>
      <c r="B194" s="36"/>
      <c r="C194" s="8"/>
      <c r="D194" s="8"/>
      <c r="E194" s="8"/>
      <c r="F194" s="24">
        <f t="shared" si="21"/>
        <v>365</v>
      </c>
      <c r="G194" s="25">
        <v>190</v>
      </c>
      <c r="H194" s="26">
        <f t="shared" si="22"/>
        <v>50726</v>
      </c>
      <c r="I194" s="26">
        <f t="shared" si="24"/>
        <v>50756</v>
      </c>
      <c r="J194" s="25">
        <f t="shared" si="20"/>
        <v>16</v>
      </c>
      <c r="K194" s="4"/>
      <c r="L194" s="5"/>
      <c r="M194" s="27">
        <f t="shared" si="25"/>
        <v>2290826.5900000026</v>
      </c>
      <c r="N194" s="27">
        <f t="shared" si="26"/>
        <v>24860.94</v>
      </c>
      <c r="O194" s="27">
        <f t="shared" si="27"/>
        <v>6408.7999999999993</v>
      </c>
      <c r="P194" s="27">
        <f t="shared" si="28"/>
        <v>18452.14</v>
      </c>
      <c r="Q194" s="28">
        <f t="shared" si="29"/>
        <v>2284417.7900000028</v>
      </c>
      <c r="R194" s="8"/>
      <c r="S194" s="29">
        <f t="shared" si="23"/>
        <v>0</v>
      </c>
      <c r="T194" s="29"/>
    </row>
    <row r="195" spans="1:20" x14ac:dyDescent="0.25">
      <c r="A195" s="8"/>
      <c r="B195" s="36"/>
      <c r="C195" s="8"/>
      <c r="D195" s="8"/>
      <c r="E195" s="8"/>
      <c r="F195" s="24">
        <f t="shared" si="21"/>
        <v>365</v>
      </c>
      <c r="G195" s="25">
        <v>191</v>
      </c>
      <c r="H195" s="26">
        <f t="shared" si="22"/>
        <v>50756</v>
      </c>
      <c r="I195" s="26">
        <f t="shared" si="24"/>
        <v>50787</v>
      </c>
      <c r="J195" s="25">
        <f t="shared" si="20"/>
        <v>16</v>
      </c>
      <c r="K195" s="4"/>
      <c r="L195" s="5"/>
      <c r="M195" s="27">
        <f t="shared" si="25"/>
        <v>2284417.7900000028</v>
      </c>
      <c r="N195" s="27">
        <f t="shared" si="26"/>
        <v>24860.94</v>
      </c>
      <c r="O195" s="27">
        <f t="shared" si="27"/>
        <v>5847.07</v>
      </c>
      <c r="P195" s="27">
        <f t="shared" si="28"/>
        <v>19013.87</v>
      </c>
      <c r="Q195" s="28">
        <f t="shared" si="29"/>
        <v>2278570.720000003</v>
      </c>
      <c r="R195" s="8"/>
      <c r="S195" s="29">
        <f t="shared" si="23"/>
        <v>0</v>
      </c>
      <c r="T195" s="29"/>
    </row>
    <row r="196" spans="1:20" x14ac:dyDescent="0.25">
      <c r="A196" s="8"/>
      <c r="B196" s="36"/>
      <c r="C196" s="8"/>
      <c r="D196" s="8"/>
      <c r="E196" s="8"/>
      <c r="F196" s="24">
        <f t="shared" si="21"/>
        <v>365</v>
      </c>
      <c r="G196" s="25">
        <v>192</v>
      </c>
      <c r="H196" s="26">
        <f t="shared" si="22"/>
        <v>50787</v>
      </c>
      <c r="I196" s="26">
        <f t="shared" si="24"/>
        <v>50818</v>
      </c>
      <c r="J196" s="25">
        <f t="shared" si="20"/>
        <v>16</v>
      </c>
      <c r="K196" s="4"/>
      <c r="L196" s="5"/>
      <c r="M196" s="27">
        <f t="shared" si="25"/>
        <v>2278570.720000003</v>
      </c>
      <c r="N196" s="27">
        <f t="shared" si="26"/>
        <v>24860.94</v>
      </c>
      <c r="O196" s="27">
        <f t="shared" si="27"/>
        <v>5895.739999999998</v>
      </c>
      <c r="P196" s="27">
        <f t="shared" si="28"/>
        <v>18965.2</v>
      </c>
      <c r="Q196" s="28">
        <f t="shared" si="29"/>
        <v>2272674.9800000028</v>
      </c>
      <c r="R196" s="8"/>
      <c r="S196" s="29">
        <f t="shared" si="23"/>
        <v>0</v>
      </c>
      <c r="T196" s="29"/>
    </row>
    <row r="197" spans="1:20" x14ac:dyDescent="0.25">
      <c r="A197" s="8"/>
      <c r="B197" s="36"/>
      <c r="C197" s="8"/>
      <c r="D197" s="8"/>
      <c r="E197" s="8"/>
      <c r="F197" s="24">
        <f t="shared" si="21"/>
        <v>365</v>
      </c>
      <c r="G197" s="25">
        <v>193</v>
      </c>
      <c r="H197" s="26">
        <f t="shared" si="22"/>
        <v>50818</v>
      </c>
      <c r="I197" s="26">
        <f t="shared" si="24"/>
        <v>50846</v>
      </c>
      <c r="J197" s="25">
        <f t="shared" ref="J197:J260" si="30">ROUNDUP(G197/12,0)</f>
        <v>17</v>
      </c>
      <c r="K197" s="4"/>
      <c r="L197" s="5"/>
      <c r="M197" s="27">
        <f t="shared" si="25"/>
        <v>2272674.9800000028</v>
      </c>
      <c r="N197" s="27">
        <f t="shared" si="26"/>
        <v>24860.94</v>
      </c>
      <c r="O197" s="27">
        <f t="shared" si="27"/>
        <v>7775.41</v>
      </c>
      <c r="P197" s="27">
        <f t="shared" si="28"/>
        <v>17085.53</v>
      </c>
      <c r="Q197" s="28">
        <f t="shared" si="29"/>
        <v>2264899.5700000026</v>
      </c>
      <c r="R197" s="8"/>
      <c r="S197" s="29">
        <f t="shared" si="23"/>
        <v>0</v>
      </c>
      <c r="T197" s="29"/>
    </row>
    <row r="198" spans="1:20" x14ac:dyDescent="0.25">
      <c r="A198" s="8"/>
      <c r="B198" s="36"/>
      <c r="C198" s="8"/>
      <c r="D198" s="8"/>
      <c r="E198" s="8"/>
      <c r="F198" s="24">
        <f t="shared" ref="F198:F261" si="31">DATE(YEAR(I198),12,31)-DATE(YEAR(I198),1,1)+1</f>
        <v>365</v>
      </c>
      <c r="G198" s="25">
        <v>194</v>
      </c>
      <c r="H198" s="26">
        <f t="shared" ref="H198:H261" si="32">I197</f>
        <v>50846</v>
      </c>
      <c r="I198" s="26">
        <f t="shared" si="24"/>
        <v>50877</v>
      </c>
      <c r="J198" s="25">
        <f t="shared" si="30"/>
        <v>17</v>
      </c>
      <c r="K198" s="4"/>
      <c r="L198" s="5"/>
      <c r="M198" s="27">
        <f t="shared" si="25"/>
        <v>2264899.5700000026</v>
      </c>
      <c r="N198" s="27">
        <f t="shared" si="26"/>
        <v>24860.94</v>
      </c>
      <c r="O198" s="27">
        <f t="shared" si="27"/>
        <v>6009.5299999999988</v>
      </c>
      <c r="P198" s="27">
        <f t="shared" si="28"/>
        <v>18851.41</v>
      </c>
      <c r="Q198" s="28">
        <f t="shared" si="29"/>
        <v>2258890.0400000028</v>
      </c>
      <c r="R198" s="8"/>
      <c r="S198" s="29">
        <f t="shared" ref="S198:S261" si="33">IF(AND(K197=$V$4,L197&gt;0),1,0)</f>
        <v>0</v>
      </c>
      <c r="T198" s="29"/>
    </row>
    <row r="199" spans="1:20" x14ac:dyDescent="0.25">
      <c r="A199" s="8"/>
      <c r="B199" s="36"/>
      <c r="C199" s="8"/>
      <c r="D199" s="8"/>
      <c r="E199" s="8"/>
      <c r="F199" s="24">
        <f t="shared" si="31"/>
        <v>365</v>
      </c>
      <c r="G199" s="25">
        <v>195</v>
      </c>
      <c r="H199" s="26">
        <f t="shared" si="32"/>
        <v>50877</v>
      </c>
      <c r="I199" s="26">
        <f t="shared" ref="I199:I262" si="34">EDATE(I198,1)</f>
        <v>50907</v>
      </c>
      <c r="J199" s="25">
        <f t="shared" si="30"/>
        <v>17</v>
      </c>
      <c r="K199" s="4"/>
      <c r="L199" s="5"/>
      <c r="M199" s="27">
        <f t="shared" ref="M199:M262" si="35">Q198</f>
        <v>2258890.0400000028</v>
      </c>
      <c r="N199" s="27">
        <f t="shared" ref="N199:N262" si="36">IF(M199&lt;$C$10,M199*((1+$C$9*(DATEDIF(H199,I199,"d")+1)/F199)),IF(AND(L198&lt;&gt;0,K198=$V$4),ROUND(M199*$C$9/12/(1-(1+$C$9/12)^(-(($C$8*12-G198)-1))),2),IF(G199=2,$C$10,N198)))</f>
        <v>24860.94</v>
      </c>
      <c r="O199" s="27">
        <f t="shared" ref="O199:O262" si="37">IFERROR(IF(M199&gt;N199,N199-P199,M199),"-")</f>
        <v>6666.0399999999972</v>
      </c>
      <c r="P199" s="27">
        <f t="shared" ref="P199:P262" si="38">IFERROR(IF($C$8*12&gt;=G199,ROUND(M199*$C$9*DATEDIF(H199,I199,"d")/F199,2),0),"-")</f>
        <v>18194.900000000001</v>
      </c>
      <c r="Q199" s="28">
        <f t="shared" ref="Q199:Q262" si="39">M199-O199-IF(K199="",0,L199)</f>
        <v>2252224.0000000028</v>
      </c>
      <c r="R199" s="8"/>
      <c r="S199" s="29">
        <f t="shared" si="33"/>
        <v>0</v>
      </c>
      <c r="T199" s="29"/>
    </row>
    <row r="200" spans="1:20" x14ac:dyDescent="0.25">
      <c r="A200" s="8"/>
      <c r="B200" s="36"/>
      <c r="C200" s="8"/>
      <c r="D200" s="8"/>
      <c r="E200" s="8"/>
      <c r="F200" s="24">
        <f t="shared" si="31"/>
        <v>365</v>
      </c>
      <c r="G200" s="25">
        <v>196</v>
      </c>
      <c r="H200" s="26">
        <f t="shared" si="32"/>
        <v>50907</v>
      </c>
      <c r="I200" s="26">
        <f t="shared" si="34"/>
        <v>50938</v>
      </c>
      <c r="J200" s="25">
        <f t="shared" si="30"/>
        <v>17</v>
      </c>
      <c r="K200" s="4"/>
      <c r="L200" s="5"/>
      <c r="M200" s="27">
        <f t="shared" si="35"/>
        <v>2252224.0000000028</v>
      </c>
      <c r="N200" s="27">
        <f t="shared" si="36"/>
        <v>24860.94</v>
      </c>
      <c r="O200" s="27">
        <f t="shared" si="37"/>
        <v>6115.0299999999988</v>
      </c>
      <c r="P200" s="27">
        <f t="shared" si="38"/>
        <v>18745.91</v>
      </c>
      <c r="Q200" s="28">
        <f t="shared" si="39"/>
        <v>2246108.970000003</v>
      </c>
      <c r="R200" s="8"/>
      <c r="S200" s="29">
        <f t="shared" si="33"/>
        <v>0</v>
      </c>
      <c r="T200" s="29"/>
    </row>
    <row r="201" spans="1:20" x14ac:dyDescent="0.25">
      <c r="A201" s="8"/>
      <c r="B201" s="36"/>
      <c r="C201" s="8"/>
      <c r="D201" s="8"/>
      <c r="E201" s="8"/>
      <c r="F201" s="24">
        <f t="shared" si="31"/>
        <v>365</v>
      </c>
      <c r="G201" s="25">
        <v>197</v>
      </c>
      <c r="H201" s="26">
        <f t="shared" si="32"/>
        <v>50938</v>
      </c>
      <c r="I201" s="26">
        <f t="shared" si="34"/>
        <v>50968</v>
      </c>
      <c r="J201" s="25">
        <f t="shared" si="30"/>
        <v>17</v>
      </c>
      <c r="K201" s="4"/>
      <c r="L201" s="5"/>
      <c r="M201" s="27">
        <f t="shared" si="35"/>
        <v>2246108.970000003</v>
      </c>
      <c r="N201" s="27">
        <f t="shared" si="36"/>
        <v>24860.94</v>
      </c>
      <c r="O201" s="27">
        <f t="shared" si="37"/>
        <v>6768.989999999998</v>
      </c>
      <c r="P201" s="27">
        <f t="shared" si="38"/>
        <v>18091.95</v>
      </c>
      <c r="Q201" s="28">
        <f t="shared" si="39"/>
        <v>2239339.9800000028</v>
      </c>
      <c r="R201" s="8"/>
      <c r="S201" s="29">
        <f t="shared" si="33"/>
        <v>0</v>
      </c>
      <c r="T201" s="29"/>
    </row>
    <row r="202" spans="1:20" x14ac:dyDescent="0.25">
      <c r="A202" s="8"/>
      <c r="B202" s="36"/>
      <c r="C202" s="8"/>
      <c r="D202" s="8"/>
      <c r="E202" s="8"/>
      <c r="F202" s="24">
        <f t="shared" si="31"/>
        <v>365</v>
      </c>
      <c r="G202" s="25">
        <v>198</v>
      </c>
      <c r="H202" s="26">
        <f t="shared" si="32"/>
        <v>50968</v>
      </c>
      <c r="I202" s="26">
        <f t="shared" si="34"/>
        <v>50999</v>
      </c>
      <c r="J202" s="25">
        <f t="shared" si="30"/>
        <v>17</v>
      </c>
      <c r="K202" s="4"/>
      <c r="L202" s="5"/>
      <c r="M202" s="27">
        <f t="shared" si="35"/>
        <v>2239339.9800000028</v>
      </c>
      <c r="N202" s="27">
        <f t="shared" si="36"/>
        <v>24860.94</v>
      </c>
      <c r="O202" s="27">
        <f t="shared" si="37"/>
        <v>6222.27</v>
      </c>
      <c r="P202" s="27">
        <f t="shared" si="38"/>
        <v>18638.669999999998</v>
      </c>
      <c r="Q202" s="28">
        <f t="shared" si="39"/>
        <v>2233117.7100000028</v>
      </c>
      <c r="R202" s="8"/>
      <c r="S202" s="29">
        <f t="shared" si="33"/>
        <v>0</v>
      </c>
      <c r="T202" s="29"/>
    </row>
    <row r="203" spans="1:20" x14ac:dyDescent="0.25">
      <c r="A203" s="8"/>
      <c r="B203" s="36"/>
      <c r="C203" s="8"/>
      <c r="D203" s="8"/>
      <c r="E203" s="8"/>
      <c r="F203" s="24">
        <f t="shared" si="31"/>
        <v>365</v>
      </c>
      <c r="G203" s="25">
        <v>199</v>
      </c>
      <c r="H203" s="26">
        <f t="shared" si="32"/>
        <v>50999</v>
      </c>
      <c r="I203" s="26">
        <f t="shared" si="34"/>
        <v>51030</v>
      </c>
      <c r="J203" s="25">
        <f t="shared" si="30"/>
        <v>17</v>
      </c>
      <c r="K203" s="4"/>
      <c r="L203" s="5"/>
      <c r="M203" s="27">
        <f t="shared" si="35"/>
        <v>2233117.7100000028</v>
      </c>
      <c r="N203" s="27">
        <f t="shared" si="36"/>
        <v>24860.94</v>
      </c>
      <c r="O203" s="27">
        <f t="shared" si="37"/>
        <v>6274.0599999999977</v>
      </c>
      <c r="P203" s="27">
        <f t="shared" si="38"/>
        <v>18586.88</v>
      </c>
      <c r="Q203" s="28">
        <f t="shared" si="39"/>
        <v>2226843.6500000027</v>
      </c>
      <c r="R203" s="8"/>
      <c r="S203" s="29">
        <f t="shared" si="33"/>
        <v>0</v>
      </c>
      <c r="T203" s="29"/>
    </row>
    <row r="204" spans="1:20" x14ac:dyDescent="0.25">
      <c r="A204" s="8"/>
      <c r="B204" s="36"/>
      <c r="C204" s="8"/>
      <c r="D204" s="8"/>
      <c r="E204" s="8"/>
      <c r="F204" s="24">
        <f t="shared" si="31"/>
        <v>365</v>
      </c>
      <c r="G204" s="25">
        <v>200</v>
      </c>
      <c r="H204" s="26">
        <f t="shared" si="32"/>
        <v>51030</v>
      </c>
      <c r="I204" s="26">
        <f t="shared" si="34"/>
        <v>51060</v>
      </c>
      <c r="J204" s="25">
        <f t="shared" si="30"/>
        <v>17</v>
      </c>
      <c r="K204" s="4"/>
      <c r="L204" s="5"/>
      <c r="M204" s="27">
        <f t="shared" si="35"/>
        <v>2226843.6500000027</v>
      </c>
      <c r="N204" s="27">
        <f t="shared" si="36"/>
        <v>24860.94</v>
      </c>
      <c r="O204" s="27">
        <f t="shared" si="37"/>
        <v>6924.1699999999983</v>
      </c>
      <c r="P204" s="27">
        <f t="shared" si="38"/>
        <v>17936.77</v>
      </c>
      <c r="Q204" s="28">
        <f t="shared" si="39"/>
        <v>2219919.4800000028</v>
      </c>
      <c r="R204" s="8"/>
      <c r="S204" s="29">
        <f t="shared" si="33"/>
        <v>0</v>
      </c>
      <c r="T204" s="29"/>
    </row>
    <row r="205" spans="1:20" x14ac:dyDescent="0.25">
      <c r="A205" s="8"/>
      <c r="B205" s="36"/>
      <c r="C205" s="8"/>
      <c r="D205" s="8"/>
      <c r="E205" s="8"/>
      <c r="F205" s="24">
        <f t="shared" si="31"/>
        <v>365</v>
      </c>
      <c r="G205" s="25">
        <v>201</v>
      </c>
      <c r="H205" s="26">
        <f t="shared" si="32"/>
        <v>51060</v>
      </c>
      <c r="I205" s="26">
        <f t="shared" si="34"/>
        <v>51091</v>
      </c>
      <c r="J205" s="25">
        <f t="shared" si="30"/>
        <v>17</v>
      </c>
      <c r="K205" s="4"/>
      <c r="L205" s="5"/>
      <c r="M205" s="27">
        <f t="shared" si="35"/>
        <v>2219919.4800000028</v>
      </c>
      <c r="N205" s="27">
        <f t="shared" si="36"/>
        <v>24860.94</v>
      </c>
      <c r="O205" s="27">
        <f t="shared" si="37"/>
        <v>6383.91</v>
      </c>
      <c r="P205" s="27">
        <f t="shared" si="38"/>
        <v>18477.03</v>
      </c>
      <c r="Q205" s="28">
        <f t="shared" si="39"/>
        <v>2213535.5700000026</v>
      </c>
      <c r="R205" s="8"/>
      <c r="S205" s="29">
        <f t="shared" si="33"/>
        <v>0</v>
      </c>
      <c r="T205" s="29"/>
    </row>
    <row r="206" spans="1:20" x14ac:dyDescent="0.25">
      <c r="A206" s="8"/>
      <c r="B206" s="36"/>
      <c r="C206" s="8"/>
      <c r="D206" s="8"/>
      <c r="E206" s="8"/>
      <c r="F206" s="24">
        <f t="shared" si="31"/>
        <v>365</v>
      </c>
      <c r="G206" s="25">
        <v>202</v>
      </c>
      <c r="H206" s="26">
        <f t="shared" si="32"/>
        <v>51091</v>
      </c>
      <c r="I206" s="26">
        <f t="shared" si="34"/>
        <v>51121</v>
      </c>
      <c r="J206" s="25">
        <f t="shared" si="30"/>
        <v>17</v>
      </c>
      <c r="K206" s="4"/>
      <c r="L206" s="5"/>
      <c r="M206" s="27">
        <f t="shared" si="35"/>
        <v>2213535.5700000026</v>
      </c>
      <c r="N206" s="27">
        <f t="shared" si="36"/>
        <v>24860.94</v>
      </c>
      <c r="O206" s="27">
        <f t="shared" si="37"/>
        <v>7031.369999999999</v>
      </c>
      <c r="P206" s="27">
        <f t="shared" si="38"/>
        <v>17829.57</v>
      </c>
      <c r="Q206" s="28">
        <f t="shared" si="39"/>
        <v>2206504.2000000025</v>
      </c>
      <c r="R206" s="8"/>
      <c r="S206" s="29">
        <f t="shared" si="33"/>
        <v>0</v>
      </c>
      <c r="T206" s="29"/>
    </row>
    <row r="207" spans="1:20" x14ac:dyDescent="0.25">
      <c r="A207" s="8"/>
      <c r="B207" s="36"/>
      <c r="C207" s="8"/>
      <c r="D207" s="8"/>
      <c r="E207" s="8"/>
      <c r="F207" s="24">
        <f t="shared" si="31"/>
        <v>366</v>
      </c>
      <c r="G207" s="25">
        <v>203</v>
      </c>
      <c r="H207" s="26">
        <f t="shared" si="32"/>
        <v>51121</v>
      </c>
      <c r="I207" s="26">
        <f t="shared" si="34"/>
        <v>51152</v>
      </c>
      <c r="J207" s="25">
        <f t="shared" si="30"/>
        <v>17</v>
      </c>
      <c r="K207" s="4"/>
      <c r="L207" s="5"/>
      <c r="M207" s="27">
        <f t="shared" si="35"/>
        <v>2206504.2000000025</v>
      </c>
      <c r="N207" s="27">
        <f t="shared" si="36"/>
        <v>24860.94</v>
      </c>
      <c r="O207" s="27">
        <f t="shared" si="37"/>
        <v>6545.75</v>
      </c>
      <c r="P207" s="27">
        <f t="shared" si="38"/>
        <v>18315.189999999999</v>
      </c>
      <c r="Q207" s="28">
        <f t="shared" si="39"/>
        <v>2199958.4500000025</v>
      </c>
      <c r="R207" s="8"/>
      <c r="S207" s="29">
        <f t="shared" si="33"/>
        <v>0</v>
      </c>
      <c r="T207" s="29"/>
    </row>
    <row r="208" spans="1:20" x14ac:dyDescent="0.25">
      <c r="A208" s="8"/>
      <c r="B208" s="36"/>
      <c r="C208" s="8"/>
      <c r="D208" s="8"/>
      <c r="E208" s="8"/>
      <c r="F208" s="24">
        <f t="shared" si="31"/>
        <v>366</v>
      </c>
      <c r="G208" s="25">
        <v>204</v>
      </c>
      <c r="H208" s="26">
        <f t="shared" si="32"/>
        <v>51152</v>
      </c>
      <c r="I208" s="26">
        <f t="shared" si="34"/>
        <v>51183</v>
      </c>
      <c r="J208" s="25">
        <f t="shared" si="30"/>
        <v>17</v>
      </c>
      <c r="K208" s="4"/>
      <c r="L208" s="5"/>
      <c r="M208" s="27">
        <f t="shared" si="35"/>
        <v>2199958.4500000025</v>
      </c>
      <c r="N208" s="27">
        <f t="shared" si="36"/>
        <v>24860.94</v>
      </c>
      <c r="O208" s="27">
        <f t="shared" si="37"/>
        <v>6600.0799999999981</v>
      </c>
      <c r="P208" s="27">
        <f t="shared" si="38"/>
        <v>18260.86</v>
      </c>
      <c r="Q208" s="28">
        <f t="shared" si="39"/>
        <v>2193358.3700000024</v>
      </c>
      <c r="R208" s="8"/>
      <c r="S208" s="29">
        <f t="shared" si="33"/>
        <v>0</v>
      </c>
      <c r="T208" s="29"/>
    </row>
    <row r="209" spans="1:20" x14ac:dyDescent="0.25">
      <c r="A209" s="8"/>
      <c r="B209" s="36"/>
      <c r="C209" s="8"/>
      <c r="D209" s="8"/>
      <c r="E209" s="8"/>
      <c r="F209" s="24">
        <f t="shared" si="31"/>
        <v>366</v>
      </c>
      <c r="G209" s="25">
        <v>205</v>
      </c>
      <c r="H209" s="26">
        <f t="shared" si="32"/>
        <v>51183</v>
      </c>
      <c r="I209" s="26">
        <f t="shared" si="34"/>
        <v>51212</v>
      </c>
      <c r="J209" s="25">
        <f t="shared" si="30"/>
        <v>18</v>
      </c>
      <c r="K209" s="4"/>
      <c r="L209" s="5"/>
      <c r="M209" s="27">
        <f t="shared" si="35"/>
        <v>2193358.3700000024</v>
      </c>
      <c r="N209" s="27">
        <f t="shared" si="36"/>
        <v>24860.94</v>
      </c>
      <c r="O209" s="27">
        <f t="shared" si="37"/>
        <v>7829.4499999999971</v>
      </c>
      <c r="P209" s="27">
        <f t="shared" si="38"/>
        <v>17031.490000000002</v>
      </c>
      <c r="Q209" s="28">
        <f t="shared" si="39"/>
        <v>2185528.9200000023</v>
      </c>
      <c r="R209" s="8"/>
      <c r="S209" s="29">
        <f t="shared" si="33"/>
        <v>0</v>
      </c>
      <c r="T209" s="29"/>
    </row>
    <row r="210" spans="1:20" x14ac:dyDescent="0.25">
      <c r="A210" s="8"/>
      <c r="B210" s="36"/>
      <c r="C210" s="8"/>
      <c r="D210" s="8"/>
      <c r="E210" s="8"/>
      <c r="F210" s="24">
        <f t="shared" si="31"/>
        <v>366</v>
      </c>
      <c r="G210" s="25">
        <v>206</v>
      </c>
      <c r="H210" s="26">
        <f t="shared" si="32"/>
        <v>51212</v>
      </c>
      <c r="I210" s="26">
        <f t="shared" si="34"/>
        <v>51243</v>
      </c>
      <c r="J210" s="25">
        <f t="shared" si="30"/>
        <v>18</v>
      </c>
      <c r="K210" s="4"/>
      <c r="L210" s="5"/>
      <c r="M210" s="27">
        <f t="shared" si="35"/>
        <v>2185528.9200000023</v>
      </c>
      <c r="N210" s="27">
        <f t="shared" si="36"/>
        <v>24860.94</v>
      </c>
      <c r="O210" s="27">
        <f t="shared" si="37"/>
        <v>6719.8599999999969</v>
      </c>
      <c r="P210" s="27">
        <f t="shared" si="38"/>
        <v>18141.080000000002</v>
      </c>
      <c r="Q210" s="28">
        <f t="shared" si="39"/>
        <v>2178809.0600000024</v>
      </c>
      <c r="R210" s="8"/>
      <c r="S210" s="29">
        <f t="shared" si="33"/>
        <v>0</v>
      </c>
      <c r="T210" s="29"/>
    </row>
    <row r="211" spans="1:20" x14ac:dyDescent="0.25">
      <c r="A211" s="8"/>
      <c r="B211" s="36"/>
      <c r="C211" s="8"/>
      <c r="D211" s="8"/>
      <c r="E211" s="8"/>
      <c r="F211" s="24">
        <f t="shared" si="31"/>
        <v>366</v>
      </c>
      <c r="G211" s="25">
        <v>207</v>
      </c>
      <c r="H211" s="26">
        <f t="shared" si="32"/>
        <v>51243</v>
      </c>
      <c r="I211" s="26">
        <f t="shared" si="34"/>
        <v>51273</v>
      </c>
      <c r="J211" s="25">
        <f t="shared" si="30"/>
        <v>18</v>
      </c>
      <c r="K211" s="4"/>
      <c r="L211" s="5"/>
      <c r="M211" s="27">
        <f t="shared" si="35"/>
        <v>2178809.0600000024</v>
      </c>
      <c r="N211" s="27">
        <f t="shared" si="36"/>
        <v>24860.94</v>
      </c>
      <c r="O211" s="27">
        <f t="shared" si="37"/>
        <v>7359.0299999999988</v>
      </c>
      <c r="P211" s="27">
        <f t="shared" si="38"/>
        <v>17501.91</v>
      </c>
      <c r="Q211" s="28">
        <f t="shared" si="39"/>
        <v>2171450.0300000026</v>
      </c>
      <c r="R211" s="8"/>
      <c r="S211" s="29">
        <f t="shared" si="33"/>
        <v>0</v>
      </c>
      <c r="T211" s="29"/>
    </row>
    <row r="212" spans="1:20" x14ac:dyDescent="0.25">
      <c r="A212" s="8"/>
      <c r="B212" s="36"/>
      <c r="C212" s="8"/>
      <c r="D212" s="8"/>
      <c r="E212" s="8"/>
      <c r="F212" s="24">
        <f t="shared" si="31"/>
        <v>366</v>
      </c>
      <c r="G212" s="25">
        <v>208</v>
      </c>
      <c r="H212" s="26">
        <f t="shared" si="32"/>
        <v>51273</v>
      </c>
      <c r="I212" s="26">
        <f t="shared" si="34"/>
        <v>51304</v>
      </c>
      <c r="J212" s="25">
        <f t="shared" si="30"/>
        <v>18</v>
      </c>
      <c r="K212" s="4"/>
      <c r="L212" s="5"/>
      <c r="M212" s="27">
        <f t="shared" si="35"/>
        <v>2171450.0300000026</v>
      </c>
      <c r="N212" s="27">
        <f t="shared" si="36"/>
        <v>24860.94</v>
      </c>
      <c r="O212" s="27">
        <f t="shared" si="37"/>
        <v>6836.7199999999975</v>
      </c>
      <c r="P212" s="27">
        <f t="shared" si="38"/>
        <v>18024.22</v>
      </c>
      <c r="Q212" s="28">
        <f t="shared" si="39"/>
        <v>2164613.3100000024</v>
      </c>
      <c r="R212" s="8"/>
      <c r="S212" s="29">
        <f t="shared" si="33"/>
        <v>0</v>
      </c>
      <c r="T212" s="29"/>
    </row>
    <row r="213" spans="1:20" x14ac:dyDescent="0.25">
      <c r="A213" s="8"/>
      <c r="B213" s="36"/>
      <c r="C213" s="8"/>
      <c r="D213" s="8"/>
      <c r="E213" s="8"/>
      <c r="F213" s="24">
        <f t="shared" si="31"/>
        <v>366</v>
      </c>
      <c r="G213" s="25">
        <v>209</v>
      </c>
      <c r="H213" s="26">
        <f t="shared" si="32"/>
        <v>51304</v>
      </c>
      <c r="I213" s="26">
        <f t="shared" si="34"/>
        <v>51334</v>
      </c>
      <c r="J213" s="25">
        <f t="shared" si="30"/>
        <v>18</v>
      </c>
      <c r="K213" s="4"/>
      <c r="L213" s="5"/>
      <c r="M213" s="27">
        <f t="shared" si="35"/>
        <v>2164613.3100000024</v>
      </c>
      <c r="N213" s="27">
        <f t="shared" si="36"/>
        <v>24860.94</v>
      </c>
      <c r="O213" s="27">
        <f t="shared" si="37"/>
        <v>7473.0599999999977</v>
      </c>
      <c r="P213" s="27">
        <f t="shared" si="38"/>
        <v>17387.88</v>
      </c>
      <c r="Q213" s="28">
        <f t="shared" si="39"/>
        <v>2157140.2500000023</v>
      </c>
      <c r="R213" s="8"/>
      <c r="S213" s="29">
        <f t="shared" si="33"/>
        <v>0</v>
      </c>
      <c r="T213" s="29"/>
    </row>
    <row r="214" spans="1:20" x14ac:dyDescent="0.25">
      <c r="A214" s="8"/>
      <c r="B214" s="36"/>
      <c r="C214" s="8"/>
      <c r="D214" s="8"/>
      <c r="E214" s="8"/>
      <c r="F214" s="24">
        <f t="shared" si="31"/>
        <v>366</v>
      </c>
      <c r="G214" s="25">
        <v>210</v>
      </c>
      <c r="H214" s="26">
        <f t="shared" si="32"/>
        <v>51334</v>
      </c>
      <c r="I214" s="26">
        <f t="shared" si="34"/>
        <v>51365</v>
      </c>
      <c r="J214" s="25">
        <f t="shared" si="30"/>
        <v>18</v>
      </c>
      <c r="K214" s="4"/>
      <c r="L214" s="5"/>
      <c r="M214" s="27">
        <f t="shared" si="35"/>
        <v>2157140.2500000023</v>
      </c>
      <c r="N214" s="27">
        <f t="shared" si="36"/>
        <v>24860.94</v>
      </c>
      <c r="O214" s="27">
        <f t="shared" si="37"/>
        <v>6955.5</v>
      </c>
      <c r="P214" s="27">
        <f t="shared" si="38"/>
        <v>17905.439999999999</v>
      </c>
      <c r="Q214" s="28">
        <f t="shared" si="39"/>
        <v>2150184.7500000023</v>
      </c>
      <c r="R214" s="8"/>
      <c r="S214" s="29">
        <f t="shared" si="33"/>
        <v>0</v>
      </c>
      <c r="T214" s="29"/>
    </row>
    <row r="215" spans="1:20" x14ac:dyDescent="0.25">
      <c r="A215" s="8"/>
      <c r="B215" s="36"/>
      <c r="C215" s="8"/>
      <c r="D215" s="8"/>
      <c r="E215" s="8"/>
      <c r="F215" s="24">
        <f t="shared" si="31"/>
        <v>366</v>
      </c>
      <c r="G215" s="25">
        <v>211</v>
      </c>
      <c r="H215" s="26">
        <f t="shared" si="32"/>
        <v>51365</v>
      </c>
      <c r="I215" s="26">
        <f t="shared" si="34"/>
        <v>51396</v>
      </c>
      <c r="J215" s="25">
        <f t="shared" si="30"/>
        <v>18</v>
      </c>
      <c r="K215" s="4"/>
      <c r="L215" s="5"/>
      <c r="M215" s="27">
        <f t="shared" si="35"/>
        <v>2150184.7500000023</v>
      </c>
      <c r="N215" s="27">
        <f t="shared" si="36"/>
        <v>24860.94</v>
      </c>
      <c r="O215" s="27">
        <f t="shared" si="37"/>
        <v>7013.23</v>
      </c>
      <c r="P215" s="27">
        <f t="shared" si="38"/>
        <v>17847.71</v>
      </c>
      <c r="Q215" s="28">
        <f t="shared" si="39"/>
        <v>2143171.5200000023</v>
      </c>
      <c r="R215" s="8"/>
      <c r="S215" s="29">
        <f t="shared" si="33"/>
        <v>0</v>
      </c>
      <c r="T215" s="29"/>
    </row>
    <row r="216" spans="1:20" x14ac:dyDescent="0.25">
      <c r="A216" s="8"/>
      <c r="B216" s="36"/>
      <c r="C216" s="8"/>
      <c r="D216" s="8"/>
      <c r="E216" s="8"/>
      <c r="F216" s="24">
        <f t="shared" si="31"/>
        <v>366</v>
      </c>
      <c r="G216" s="25">
        <v>212</v>
      </c>
      <c r="H216" s="26">
        <f t="shared" si="32"/>
        <v>51396</v>
      </c>
      <c r="I216" s="26">
        <f t="shared" si="34"/>
        <v>51426</v>
      </c>
      <c r="J216" s="25">
        <f t="shared" si="30"/>
        <v>18</v>
      </c>
      <c r="K216" s="4"/>
      <c r="L216" s="5"/>
      <c r="M216" s="27">
        <f t="shared" si="35"/>
        <v>2143171.5200000023</v>
      </c>
      <c r="N216" s="27">
        <f t="shared" si="36"/>
        <v>24860.94</v>
      </c>
      <c r="O216" s="27">
        <f t="shared" si="37"/>
        <v>7645.2999999999993</v>
      </c>
      <c r="P216" s="27">
        <f t="shared" si="38"/>
        <v>17215.64</v>
      </c>
      <c r="Q216" s="28">
        <f t="shared" si="39"/>
        <v>2135526.2200000025</v>
      </c>
      <c r="R216" s="8"/>
      <c r="S216" s="29">
        <f t="shared" si="33"/>
        <v>0</v>
      </c>
      <c r="T216" s="29"/>
    </row>
    <row r="217" spans="1:20" x14ac:dyDescent="0.25">
      <c r="A217" s="8"/>
      <c r="B217" s="36"/>
      <c r="C217" s="8"/>
      <c r="D217" s="8"/>
      <c r="E217" s="8"/>
      <c r="F217" s="24">
        <f t="shared" si="31"/>
        <v>366</v>
      </c>
      <c r="G217" s="25">
        <v>213</v>
      </c>
      <c r="H217" s="26">
        <f t="shared" si="32"/>
        <v>51426</v>
      </c>
      <c r="I217" s="26">
        <f t="shared" si="34"/>
        <v>51457</v>
      </c>
      <c r="J217" s="25">
        <f t="shared" si="30"/>
        <v>18</v>
      </c>
      <c r="K217" s="4"/>
      <c r="L217" s="5"/>
      <c r="M217" s="27">
        <f t="shared" si="35"/>
        <v>2135526.2200000025</v>
      </c>
      <c r="N217" s="27">
        <f t="shared" si="36"/>
        <v>24860.94</v>
      </c>
      <c r="O217" s="27">
        <f t="shared" si="37"/>
        <v>7134.91</v>
      </c>
      <c r="P217" s="27">
        <f t="shared" si="38"/>
        <v>17726.03</v>
      </c>
      <c r="Q217" s="28">
        <f t="shared" si="39"/>
        <v>2128391.3100000024</v>
      </c>
      <c r="R217" s="8"/>
      <c r="S217" s="29">
        <f t="shared" si="33"/>
        <v>0</v>
      </c>
      <c r="T217" s="29"/>
    </row>
    <row r="218" spans="1:20" x14ac:dyDescent="0.25">
      <c r="A218" s="8"/>
      <c r="B218" s="36"/>
      <c r="C218" s="8"/>
      <c r="D218" s="8"/>
      <c r="E218" s="8"/>
      <c r="F218" s="24">
        <f t="shared" si="31"/>
        <v>366</v>
      </c>
      <c r="G218" s="25">
        <v>214</v>
      </c>
      <c r="H218" s="26">
        <f t="shared" si="32"/>
        <v>51457</v>
      </c>
      <c r="I218" s="26">
        <f t="shared" si="34"/>
        <v>51487</v>
      </c>
      <c r="J218" s="25">
        <f t="shared" si="30"/>
        <v>18</v>
      </c>
      <c r="K218" s="4"/>
      <c r="L218" s="5"/>
      <c r="M218" s="27">
        <f t="shared" si="35"/>
        <v>2128391.3100000024</v>
      </c>
      <c r="N218" s="27">
        <f t="shared" si="36"/>
        <v>24860.94</v>
      </c>
      <c r="O218" s="27">
        <f t="shared" si="37"/>
        <v>7764.0299999999988</v>
      </c>
      <c r="P218" s="27">
        <f t="shared" si="38"/>
        <v>17096.91</v>
      </c>
      <c r="Q218" s="28">
        <f t="shared" si="39"/>
        <v>2120627.2800000026</v>
      </c>
      <c r="R218" s="8"/>
      <c r="S218" s="29">
        <f t="shared" si="33"/>
        <v>0</v>
      </c>
      <c r="T218" s="29"/>
    </row>
    <row r="219" spans="1:20" x14ac:dyDescent="0.25">
      <c r="A219" s="8"/>
      <c r="B219" s="36"/>
      <c r="C219" s="8"/>
      <c r="D219" s="8"/>
      <c r="E219" s="8"/>
      <c r="F219" s="24">
        <f t="shared" si="31"/>
        <v>365</v>
      </c>
      <c r="G219" s="25">
        <v>215</v>
      </c>
      <c r="H219" s="26">
        <f t="shared" si="32"/>
        <v>51487</v>
      </c>
      <c r="I219" s="26">
        <f t="shared" si="34"/>
        <v>51518</v>
      </c>
      <c r="J219" s="25">
        <f t="shared" si="30"/>
        <v>18</v>
      </c>
      <c r="K219" s="4"/>
      <c r="L219" s="5"/>
      <c r="M219" s="27">
        <f t="shared" si="35"/>
        <v>2120627.2800000026</v>
      </c>
      <c r="N219" s="27">
        <f t="shared" si="36"/>
        <v>24860.94</v>
      </c>
      <c r="O219" s="27">
        <f t="shared" si="37"/>
        <v>7210.3499999999985</v>
      </c>
      <c r="P219" s="27">
        <f t="shared" si="38"/>
        <v>17650.59</v>
      </c>
      <c r="Q219" s="28">
        <f t="shared" si="39"/>
        <v>2113416.9300000025</v>
      </c>
      <c r="R219" s="8"/>
      <c r="S219" s="29">
        <f t="shared" si="33"/>
        <v>0</v>
      </c>
      <c r="T219" s="29"/>
    </row>
    <row r="220" spans="1:20" x14ac:dyDescent="0.25">
      <c r="A220" s="8"/>
      <c r="B220" s="36"/>
      <c r="C220" s="8"/>
      <c r="D220" s="8"/>
      <c r="E220" s="8"/>
      <c r="F220" s="24">
        <f t="shared" si="31"/>
        <v>365</v>
      </c>
      <c r="G220" s="25">
        <v>216</v>
      </c>
      <c r="H220" s="26">
        <f t="shared" si="32"/>
        <v>51518</v>
      </c>
      <c r="I220" s="26">
        <f t="shared" si="34"/>
        <v>51549</v>
      </c>
      <c r="J220" s="25">
        <f t="shared" si="30"/>
        <v>18</v>
      </c>
      <c r="K220" s="4"/>
      <c r="L220" s="5"/>
      <c r="M220" s="27">
        <f t="shared" si="35"/>
        <v>2113416.9300000025</v>
      </c>
      <c r="N220" s="27">
        <f t="shared" si="36"/>
        <v>24860.94</v>
      </c>
      <c r="O220" s="27">
        <f t="shared" si="37"/>
        <v>7270.3599999999969</v>
      </c>
      <c r="P220" s="27">
        <f t="shared" si="38"/>
        <v>17590.580000000002</v>
      </c>
      <c r="Q220" s="28">
        <f t="shared" si="39"/>
        <v>2106146.5700000026</v>
      </c>
      <c r="R220" s="8"/>
      <c r="S220" s="29">
        <f t="shared" si="33"/>
        <v>0</v>
      </c>
      <c r="T220" s="29"/>
    </row>
    <row r="221" spans="1:20" x14ac:dyDescent="0.25">
      <c r="A221" s="8"/>
      <c r="B221" s="36"/>
      <c r="C221" s="8"/>
      <c r="D221" s="8"/>
      <c r="E221" s="8"/>
      <c r="F221" s="24">
        <f t="shared" si="31"/>
        <v>365</v>
      </c>
      <c r="G221" s="25">
        <v>217</v>
      </c>
      <c r="H221" s="26">
        <f t="shared" si="32"/>
        <v>51549</v>
      </c>
      <c r="I221" s="26">
        <f t="shared" si="34"/>
        <v>51577</v>
      </c>
      <c r="J221" s="25">
        <f t="shared" si="30"/>
        <v>19</v>
      </c>
      <c r="K221" s="4"/>
      <c r="L221" s="5"/>
      <c r="M221" s="27">
        <f t="shared" si="35"/>
        <v>2106146.5700000026</v>
      </c>
      <c r="N221" s="27">
        <f t="shared" si="36"/>
        <v>24860.94</v>
      </c>
      <c r="O221" s="27">
        <f t="shared" si="37"/>
        <v>9027.3299999999981</v>
      </c>
      <c r="P221" s="27">
        <f t="shared" si="38"/>
        <v>15833.61</v>
      </c>
      <c r="Q221" s="28">
        <f t="shared" si="39"/>
        <v>2097119.2400000026</v>
      </c>
      <c r="R221" s="8"/>
      <c r="S221" s="29">
        <f t="shared" si="33"/>
        <v>0</v>
      </c>
      <c r="T221" s="29"/>
    </row>
    <row r="222" spans="1:20" x14ac:dyDescent="0.25">
      <c r="A222" s="8"/>
      <c r="B222" s="36"/>
      <c r="C222" s="8"/>
      <c r="D222" s="8"/>
      <c r="E222" s="8"/>
      <c r="F222" s="24">
        <f t="shared" si="31"/>
        <v>365</v>
      </c>
      <c r="G222" s="25">
        <v>218</v>
      </c>
      <c r="H222" s="26">
        <f t="shared" si="32"/>
        <v>51577</v>
      </c>
      <c r="I222" s="26">
        <f t="shared" si="34"/>
        <v>51608</v>
      </c>
      <c r="J222" s="25">
        <f t="shared" si="30"/>
        <v>19</v>
      </c>
      <c r="K222" s="4"/>
      <c r="L222" s="5"/>
      <c r="M222" s="27">
        <f t="shared" si="35"/>
        <v>2097119.2400000026</v>
      </c>
      <c r="N222" s="27">
        <f t="shared" si="36"/>
        <v>24860.94</v>
      </c>
      <c r="O222" s="27">
        <f t="shared" si="37"/>
        <v>7406.0099999999984</v>
      </c>
      <c r="P222" s="27">
        <f t="shared" si="38"/>
        <v>17454.93</v>
      </c>
      <c r="Q222" s="28">
        <f t="shared" si="39"/>
        <v>2089713.2300000025</v>
      </c>
      <c r="R222" s="8"/>
      <c r="S222" s="29">
        <f t="shared" si="33"/>
        <v>0</v>
      </c>
      <c r="T222" s="29"/>
    </row>
    <row r="223" spans="1:20" x14ac:dyDescent="0.25">
      <c r="A223" s="8"/>
      <c r="B223" s="36"/>
      <c r="C223" s="8"/>
      <c r="D223" s="8"/>
      <c r="E223" s="8"/>
      <c r="F223" s="24">
        <f t="shared" si="31"/>
        <v>365</v>
      </c>
      <c r="G223" s="25">
        <v>219</v>
      </c>
      <c r="H223" s="26">
        <f t="shared" si="32"/>
        <v>51608</v>
      </c>
      <c r="I223" s="26">
        <f t="shared" si="34"/>
        <v>51638</v>
      </c>
      <c r="J223" s="25">
        <f t="shared" si="30"/>
        <v>19</v>
      </c>
      <c r="K223" s="4"/>
      <c r="L223" s="5"/>
      <c r="M223" s="27">
        <f t="shared" si="35"/>
        <v>2089713.2300000025</v>
      </c>
      <c r="N223" s="27">
        <f t="shared" si="36"/>
        <v>24860.94</v>
      </c>
      <c r="O223" s="27">
        <f t="shared" si="37"/>
        <v>8028.73</v>
      </c>
      <c r="P223" s="27">
        <f t="shared" si="38"/>
        <v>16832.21</v>
      </c>
      <c r="Q223" s="28">
        <f t="shared" si="39"/>
        <v>2081684.5000000026</v>
      </c>
      <c r="R223" s="8"/>
      <c r="S223" s="29">
        <f t="shared" si="33"/>
        <v>0</v>
      </c>
      <c r="T223" s="29"/>
    </row>
    <row r="224" spans="1:20" x14ac:dyDescent="0.25">
      <c r="A224" s="8"/>
      <c r="B224" s="36"/>
      <c r="C224" s="8"/>
      <c r="D224" s="8"/>
      <c r="E224" s="8"/>
      <c r="F224" s="24">
        <f t="shared" si="31"/>
        <v>365</v>
      </c>
      <c r="G224" s="25">
        <v>220</v>
      </c>
      <c r="H224" s="26">
        <f t="shared" si="32"/>
        <v>51638</v>
      </c>
      <c r="I224" s="26">
        <f t="shared" si="34"/>
        <v>51669</v>
      </c>
      <c r="J224" s="25">
        <f t="shared" si="30"/>
        <v>19</v>
      </c>
      <c r="K224" s="4"/>
      <c r="L224" s="5"/>
      <c r="M224" s="27">
        <f t="shared" si="35"/>
        <v>2081684.5000000026</v>
      </c>
      <c r="N224" s="27">
        <f t="shared" si="36"/>
        <v>24860.94</v>
      </c>
      <c r="O224" s="27">
        <f t="shared" si="37"/>
        <v>7534.48</v>
      </c>
      <c r="P224" s="27">
        <f t="shared" si="38"/>
        <v>17326.46</v>
      </c>
      <c r="Q224" s="28">
        <f t="shared" si="39"/>
        <v>2074150.0200000026</v>
      </c>
      <c r="R224" s="8"/>
      <c r="S224" s="29">
        <f t="shared" si="33"/>
        <v>0</v>
      </c>
      <c r="T224" s="29"/>
    </row>
    <row r="225" spans="1:20" x14ac:dyDescent="0.25">
      <c r="A225" s="8"/>
      <c r="B225" s="36"/>
      <c r="C225" s="8"/>
      <c r="D225" s="8"/>
      <c r="E225" s="8"/>
      <c r="F225" s="24">
        <f t="shared" si="31"/>
        <v>365</v>
      </c>
      <c r="G225" s="25">
        <v>221</v>
      </c>
      <c r="H225" s="26">
        <f t="shared" si="32"/>
        <v>51669</v>
      </c>
      <c r="I225" s="26">
        <f t="shared" si="34"/>
        <v>51699</v>
      </c>
      <c r="J225" s="25">
        <f t="shared" si="30"/>
        <v>19</v>
      </c>
      <c r="K225" s="4"/>
      <c r="L225" s="5"/>
      <c r="M225" s="27">
        <f t="shared" si="35"/>
        <v>2074150.0200000026</v>
      </c>
      <c r="N225" s="27">
        <f t="shared" si="36"/>
        <v>24860.94</v>
      </c>
      <c r="O225" s="27">
        <f t="shared" si="37"/>
        <v>8154.09</v>
      </c>
      <c r="P225" s="27">
        <f t="shared" si="38"/>
        <v>16706.849999999999</v>
      </c>
      <c r="Q225" s="28">
        <f t="shared" si="39"/>
        <v>2065995.9300000025</v>
      </c>
      <c r="R225" s="8"/>
      <c r="S225" s="29">
        <f t="shared" si="33"/>
        <v>0</v>
      </c>
      <c r="T225" s="29"/>
    </row>
    <row r="226" spans="1:20" x14ac:dyDescent="0.25">
      <c r="A226" s="8"/>
      <c r="B226" s="36"/>
      <c r="C226" s="8"/>
      <c r="D226" s="8"/>
      <c r="E226" s="8"/>
      <c r="F226" s="24">
        <f t="shared" si="31"/>
        <v>365</v>
      </c>
      <c r="G226" s="25">
        <v>222</v>
      </c>
      <c r="H226" s="26">
        <f t="shared" si="32"/>
        <v>51699</v>
      </c>
      <c r="I226" s="26">
        <f t="shared" si="34"/>
        <v>51730</v>
      </c>
      <c r="J226" s="25">
        <f t="shared" si="30"/>
        <v>19</v>
      </c>
      <c r="K226" s="4"/>
      <c r="L226" s="5"/>
      <c r="M226" s="27">
        <f t="shared" si="35"/>
        <v>2065995.9300000025</v>
      </c>
      <c r="N226" s="27">
        <f t="shared" si="36"/>
        <v>24860.94</v>
      </c>
      <c r="O226" s="27">
        <f t="shared" si="37"/>
        <v>7665.0599999999977</v>
      </c>
      <c r="P226" s="27">
        <f t="shared" si="38"/>
        <v>17195.88</v>
      </c>
      <c r="Q226" s="28">
        <f t="shared" si="39"/>
        <v>2058330.8700000024</v>
      </c>
      <c r="R226" s="8"/>
      <c r="S226" s="29">
        <f t="shared" si="33"/>
        <v>0</v>
      </c>
      <c r="T226" s="29"/>
    </row>
    <row r="227" spans="1:20" x14ac:dyDescent="0.25">
      <c r="A227" s="8"/>
      <c r="B227" s="36"/>
      <c r="C227" s="8"/>
      <c r="D227" s="8"/>
      <c r="E227" s="8"/>
      <c r="F227" s="24">
        <f t="shared" si="31"/>
        <v>365</v>
      </c>
      <c r="G227" s="25">
        <v>223</v>
      </c>
      <c r="H227" s="26">
        <f t="shared" si="32"/>
        <v>51730</v>
      </c>
      <c r="I227" s="26">
        <f t="shared" si="34"/>
        <v>51761</v>
      </c>
      <c r="J227" s="25">
        <f t="shared" si="30"/>
        <v>19</v>
      </c>
      <c r="K227" s="4"/>
      <c r="L227" s="5"/>
      <c r="M227" s="27">
        <f t="shared" si="35"/>
        <v>2058330.8700000024</v>
      </c>
      <c r="N227" s="27">
        <f t="shared" si="36"/>
        <v>24860.94</v>
      </c>
      <c r="O227" s="27">
        <f t="shared" si="37"/>
        <v>7728.8599999999969</v>
      </c>
      <c r="P227" s="27">
        <f t="shared" si="38"/>
        <v>17132.080000000002</v>
      </c>
      <c r="Q227" s="28">
        <f t="shared" si="39"/>
        <v>2050602.0100000023</v>
      </c>
      <c r="R227" s="8"/>
      <c r="S227" s="29">
        <f t="shared" si="33"/>
        <v>0</v>
      </c>
      <c r="T227" s="29"/>
    </row>
    <row r="228" spans="1:20" x14ac:dyDescent="0.25">
      <c r="A228" s="8"/>
      <c r="B228" s="36"/>
      <c r="C228" s="8"/>
      <c r="D228" s="8"/>
      <c r="E228" s="8"/>
      <c r="F228" s="24">
        <f t="shared" si="31"/>
        <v>365</v>
      </c>
      <c r="G228" s="25">
        <v>224</v>
      </c>
      <c r="H228" s="26">
        <f t="shared" si="32"/>
        <v>51761</v>
      </c>
      <c r="I228" s="26">
        <f t="shared" si="34"/>
        <v>51791</v>
      </c>
      <c r="J228" s="25">
        <f t="shared" si="30"/>
        <v>19</v>
      </c>
      <c r="K228" s="4"/>
      <c r="L228" s="5"/>
      <c r="M228" s="27">
        <f t="shared" si="35"/>
        <v>2050602.0100000023</v>
      </c>
      <c r="N228" s="27">
        <f t="shared" si="36"/>
        <v>24860.94</v>
      </c>
      <c r="O228" s="27">
        <f t="shared" si="37"/>
        <v>8343.7599999999984</v>
      </c>
      <c r="P228" s="27">
        <f t="shared" si="38"/>
        <v>16517.18</v>
      </c>
      <c r="Q228" s="28">
        <f t="shared" si="39"/>
        <v>2042258.2500000023</v>
      </c>
      <c r="R228" s="8"/>
      <c r="S228" s="29">
        <f t="shared" si="33"/>
        <v>0</v>
      </c>
      <c r="T228" s="29"/>
    </row>
    <row r="229" spans="1:20" x14ac:dyDescent="0.25">
      <c r="A229" s="8"/>
      <c r="B229" s="36"/>
      <c r="C229" s="8"/>
      <c r="D229" s="8"/>
      <c r="E229" s="8"/>
      <c r="F229" s="24">
        <f t="shared" si="31"/>
        <v>365</v>
      </c>
      <c r="G229" s="25">
        <v>225</v>
      </c>
      <c r="H229" s="26">
        <f t="shared" si="32"/>
        <v>51791</v>
      </c>
      <c r="I229" s="26">
        <f t="shared" si="34"/>
        <v>51822</v>
      </c>
      <c r="J229" s="25">
        <f t="shared" si="30"/>
        <v>19</v>
      </c>
      <c r="K229" s="4"/>
      <c r="L229" s="5"/>
      <c r="M229" s="27">
        <f t="shared" si="35"/>
        <v>2042258.2500000023</v>
      </c>
      <c r="N229" s="27">
        <f t="shared" si="36"/>
        <v>24860.94</v>
      </c>
      <c r="O229" s="27">
        <f t="shared" si="37"/>
        <v>7862.6399999999994</v>
      </c>
      <c r="P229" s="27">
        <f t="shared" si="38"/>
        <v>16998.3</v>
      </c>
      <c r="Q229" s="28">
        <f t="shared" si="39"/>
        <v>2034395.6100000024</v>
      </c>
      <c r="R229" s="8"/>
      <c r="S229" s="29">
        <f t="shared" si="33"/>
        <v>0</v>
      </c>
      <c r="T229" s="29"/>
    </row>
    <row r="230" spans="1:20" x14ac:dyDescent="0.25">
      <c r="A230" s="8"/>
      <c r="B230" s="36"/>
      <c r="C230" s="8"/>
      <c r="D230" s="8"/>
      <c r="E230" s="8"/>
      <c r="F230" s="24">
        <f t="shared" si="31"/>
        <v>365</v>
      </c>
      <c r="G230" s="25">
        <v>226</v>
      </c>
      <c r="H230" s="26">
        <f t="shared" si="32"/>
        <v>51822</v>
      </c>
      <c r="I230" s="26">
        <f t="shared" si="34"/>
        <v>51852</v>
      </c>
      <c r="J230" s="25">
        <f t="shared" si="30"/>
        <v>19</v>
      </c>
      <c r="K230" s="4"/>
      <c r="L230" s="5"/>
      <c r="M230" s="27">
        <f t="shared" si="35"/>
        <v>2034395.6100000024</v>
      </c>
      <c r="N230" s="27">
        <f t="shared" si="36"/>
        <v>24860.94</v>
      </c>
      <c r="O230" s="27">
        <f t="shared" si="37"/>
        <v>8474.2999999999993</v>
      </c>
      <c r="P230" s="27">
        <f t="shared" si="38"/>
        <v>16386.64</v>
      </c>
      <c r="Q230" s="28">
        <f t="shared" si="39"/>
        <v>2025921.3100000024</v>
      </c>
      <c r="R230" s="8"/>
      <c r="S230" s="29">
        <f t="shared" si="33"/>
        <v>0</v>
      </c>
      <c r="T230" s="29"/>
    </row>
    <row r="231" spans="1:20" x14ac:dyDescent="0.25">
      <c r="A231" s="8"/>
      <c r="B231" s="36"/>
      <c r="C231" s="8"/>
      <c r="D231" s="8"/>
      <c r="E231" s="8"/>
      <c r="F231" s="24">
        <f t="shared" si="31"/>
        <v>365</v>
      </c>
      <c r="G231" s="25">
        <v>227</v>
      </c>
      <c r="H231" s="26">
        <f t="shared" si="32"/>
        <v>51852</v>
      </c>
      <c r="I231" s="26">
        <f t="shared" si="34"/>
        <v>51883</v>
      </c>
      <c r="J231" s="25">
        <f t="shared" si="30"/>
        <v>19</v>
      </c>
      <c r="K231" s="4"/>
      <c r="L231" s="5"/>
      <c r="M231" s="27">
        <f t="shared" si="35"/>
        <v>2025921.3100000024</v>
      </c>
      <c r="N231" s="27">
        <f t="shared" si="36"/>
        <v>24860.94</v>
      </c>
      <c r="O231" s="27">
        <f t="shared" si="37"/>
        <v>7998.6099999999969</v>
      </c>
      <c r="P231" s="27">
        <f t="shared" si="38"/>
        <v>16862.330000000002</v>
      </c>
      <c r="Q231" s="28">
        <f t="shared" si="39"/>
        <v>2017922.7000000023</v>
      </c>
      <c r="R231" s="8"/>
      <c r="S231" s="29">
        <f t="shared" si="33"/>
        <v>0</v>
      </c>
      <c r="T231" s="29"/>
    </row>
    <row r="232" spans="1:20" x14ac:dyDescent="0.25">
      <c r="A232" s="8"/>
      <c r="B232" s="36"/>
      <c r="C232" s="8"/>
      <c r="D232" s="8"/>
      <c r="E232" s="8"/>
      <c r="F232" s="24">
        <f t="shared" si="31"/>
        <v>365</v>
      </c>
      <c r="G232" s="25">
        <v>228</v>
      </c>
      <c r="H232" s="26">
        <f t="shared" si="32"/>
        <v>51883</v>
      </c>
      <c r="I232" s="26">
        <f t="shared" si="34"/>
        <v>51914</v>
      </c>
      <c r="J232" s="25">
        <f t="shared" si="30"/>
        <v>19</v>
      </c>
      <c r="K232" s="4"/>
      <c r="L232" s="5"/>
      <c r="M232" s="27">
        <f t="shared" si="35"/>
        <v>2017922.7000000023</v>
      </c>
      <c r="N232" s="27">
        <f t="shared" si="36"/>
        <v>24860.94</v>
      </c>
      <c r="O232" s="27">
        <f t="shared" si="37"/>
        <v>8065.1899999999987</v>
      </c>
      <c r="P232" s="27">
        <f t="shared" si="38"/>
        <v>16795.75</v>
      </c>
      <c r="Q232" s="28">
        <f t="shared" si="39"/>
        <v>2009857.5100000023</v>
      </c>
      <c r="R232" s="8"/>
      <c r="S232" s="29">
        <f t="shared" si="33"/>
        <v>0</v>
      </c>
      <c r="T232" s="29"/>
    </row>
    <row r="233" spans="1:20" x14ac:dyDescent="0.25">
      <c r="A233" s="8"/>
      <c r="B233" s="36"/>
      <c r="C233" s="8"/>
      <c r="D233" s="8"/>
      <c r="E233" s="8"/>
      <c r="F233" s="24">
        <f t="shared" si="31"/>
        <v>365</v>
      </c>
      <c r="G233" s="25">
        <v>229</v>
      </c>
      <c r="H233" s="26">
        <f t="shared" si="32"/>
        <v>51914</v>
      </c>
      <c r="I233" s="26">
        <f t="shared" si="34"/>
        <v>51942</v>
      </c>
      <c r="J233" s="25">
        <f t="shared" si="30"/>
        <v>20</v>
      </c>
      <c r="K233" s="4"/>
      <c r="L233" s="5"/>
      <c r="M233" s="27">
        <f t="shared" si="35"/>
        <v>2009857.5100000023</v>
      </c>
      <c r="N233" s="27">
        <f t="shared" si="36"/>
        <v>24860.94</v>
      </c>
      <c r="O233" s="27">
        <f t="shared" si="37"/>
        <v>9751.2199999999993</v>
      </c>
      <c r="P233" s="27">
        <f t="shared" si="38"/>
        <v>15109.72</v>
      </c>
      <c r="Q233" s="28">
        <f t="shared" si="39"/>
        <v>2000106.2900000024</v>
      </c>
      <c r="R233" s="8"/>
      <c r="S233" s="29">
        <f t="shared" si="33"/>
        <v>0</v>
      </c>
      <c r="T233" s="29"/>
    </row>
    <row r="234" spans="1:20" x14ac:dyDescent="0.25">
      <c r="A234" s="8"/>
      <c r="B234" s="36"/>
      <c r="C234" s="8"/>
      <c r="D234" s="8"/>
      <c r="E234" s="8"/>
      <c r="F234" s="24">
        <f t="shared" si="31"/>
        <v>365</v>
      </c>
      <c r="G234" s="25">
        <v>230</v>
      </c>
      <c r="H234" s="26">
        <f t="shared" si="32"/>
        <v>51942</v>
      </c>
      <c r="I234" s="26">
        <f t="shared" si="34"/>
        <v>51973</v>
      </c>
      <c r="J234" s="25">
        <f t="shared" si="30"/>
        <v>20</v>
      </c>
      <c r="K234" s="4"/>
      <c r="L234" s="5"/>
      <c r="M234" s="27">
        <f t="shared" si="35"/>
        <v>2000106.2900000024</v>
      </c>
      <c r="N234" s="27">
        <f t="shared" si="36"/>
        <v>24860.94</v>
      </c>
      <c r="O234" s="27">
        <f t="shared" si="37"/>
        <v>8213.48</v>
      </c>
      <c r="P234" s="27">
        <f t="shared" si="38"/>
        <v>16647.46</v>
      </c>
      <c r="Q234" s="28">
        <f t="shared" si="39"/>
        <v>1991892.8100000024</v>
      </c>
      <c r="R234" s="8"/>
      <c r="S234" s="29">
        <f t="shared" si="33"/>
        <v>0</v>
      </c>
      <c r="T234" s="29"/>
    </row>
    <row r="235" spans="1:20" x14ac:dyDescent="0.25">
      <c r="A235" s="8"/>
      <c r="B235" s="36"/>
      <c r="C235" s="8"/>
      <c r="D235" s="8"/>
      <c r="E235" s="8"/>
      <c r="F235" s="24">
        <f t="shared" si="31"/>
        <v>365</v>
      </c>
      <c r="G235" s="25">
        <v>231</v>
      </c>
      <c r="H235" s="26">
        <f t="shared" si="32"/>
        <v>51973</v>
      </c>
      <c r="I235" s="26">
        <f t="shared" si="34"/>
        <v>52003</v>
      </c>
      <c r="J235" s="25">
        <f t="shared" si="30"/>
        <v>20</v>
      </c>
      <c r="K235" s="4"/>
      <c r="L235" s="5"/>
      <c r="M235" s="27">
        <f t="shared" si="35"/>
        <v>1991892.8100000024</v>
      </c>
      <c r="N235" s="27">
        <f t="shared" si="36"/>
        <v>24860.94</v>
      </c>
      <c r="O235" s="27">
        <f t="shared" si="37"/>
        <v>8816.6499999999978</v>
      </c>
      <c r="P235" s="27">
        <f t="shared" si="38"/>
        <v>16044.29</v>
      </c>
      <c r="Q235" s="28">
        <f t="shared" si="39"/>
        <v>1983076.1600000025</v>
      </c>
      <c r="R235" s="8"/>
      <c r="S235" s="29">
        <f t="shared" si="33"/>
        <v>0</v>
      </c>
      <c r="T235" s="29"/>
    </row>
    <row r="236" spans="1:20" x14ac:dyDescent="0.25">
      <c r="A236" s="8"/>
      <c r="B236" s="36"/>
      <c r="C236" s="8"/>
      <c r="D236" s="8"/>
      <c r="E236" s="8"/>
      <c r="F236" s="24">
        <f t="shared" si="31"/>
        <v>365</v>
      </c>
      <c r="G236" s="25">
        <v>232</v>
      </c>
      <c r="H236" s="26">
        <f t="shared" si="32"/>
        <v>52003</v>
      </c>
      <c r="I236" s="26">
        <f t="shared" si="34"/>
        <v>52034</v>
      </c>
      <c r="J236" s="25">
        <f t="shared" si="30"/>
        <v>20</v>
      </c>
      <c r="K236" s="4"/>
      <c r="L236" s="5"/>
      <c r="M236" s="27">
        <f t="shared" si="35"/>
        <v>1983076.1600000025</v>
      </c>
      <c r="N236" s="27">
        <f t="shared" si="36"/>
        <v>24860.94</v>
      </c>
      <c r="O236" s="27">
        <f t="shared" si="37"/>
        <v>8355.23</v>
      </c>
      <c r="P236" s="27">
        <f t="shared" si="38"/>
        <v>16505.71</v>
      </c>
      <c r="Q236" s="28">
        <f t="shared" si="39"/>
        <v>1974720.9300000025</v>
      </c>
      <c r="R236" s="8"/>
      <c r="S236" s="29">
        <f t="shared" si="33"/>
        <v>0</v>
      </c>
      <c r="T236" s="29"/>
    </row>
    <row r="237" spans="1:20" x14ac:dyDescent="0.25">
      <c r="A237" s="8"/>
      <c r="B237" s="36"/>
      <c r="C237" s="8"/>
      <c r="D237" s="8"/>
      <c r="E237" s="8"/>
      <c r="F237" s="24">
        <f t="shared" si="31"/>
        <v>365</v>
      </c>
      <c r="G237" s="25">
        <v>233</v>
      </c>
      <c r="H237" s="26">
        <f t="shared" si="32"/>
        <v>52034</v>
      </c>
      <c r="I237" s="26">
        <f t="shared" si="34"/>
        <v>52064</v>
      </c>
      <c r="J237" s="25">
        <f t="shared" si="30"/>
        <v>20</v>
      </c>
      <c r="K237" s="4"/>
      <c r="L237" s="5"/>
      <c r="M237" s="27">
        <f t="shared" si="35"/>
        <v>1974720.9300000025</v>
      </c>
      <c r="N237" s="27">
        <f t="shared" si="36"/>
        <v>24860.94</v>
      </c>
      <c r="O237" s="27">
        <f t="shared" si="37"/>
        <v>8954.9699999999993</v>
      </c>
      <c r="P237" s="27">
        <f t="shared" si="38"/>
        <v>15905.97</v>
      </c>
      <c r="Q237" s="28">
        <f t="shared" si="39"/>
        <v>1965765.9600000025</v>
      </c>
      <c r="R237" s="8"/>
      <c r="S237" s="29">
        <f t="shared" si="33"/>
        <v>0</v>
      </c>
      <c r="T237" s="29"/>
    </row>
    <row r="238" spans="1:20" x14ac:dyDescent="0.25">
      <c r="A238" s="8"/>
      <c r="B238" s="36"/>
      <c r="C238" s="8"/>
      <c r="D238" s="8"/>
      <c r="E238" s="8"/>
      <c r="F238" s="24">
        <f t="shared" si="31"/>
        <v>365</v>
      </c>
      <c r="G238" s="25">
        <v>234</v>
      </c>
      <c r="H238" s="26">
        <f t="shared" si="32"/>
        <v>52064</v>
      </c>
      <c r="I238" s="26">
        <f t="shared" si="34"/>
        <v>52095</v>
      </c>
      <c r="J238" s="25">
        <f t="shared" si="30"/>
        <v>20</v>
      </c>
      <c r="K238" s="4"/>
      <c r="L238" s="5"/>
      <c r="M238" s="27">
        <f t="shared" si="35"/>
        <v>1965765.9600000025</v>
      </c>
      <c r="N238" s="27">
        <f t="shared" si="36"/>
        <v>24860.94</v>
      </c>
      <c r="O238" s="27">
        <f t="shared" si="37"/>
        <v>8499.2999999999993</v>
      </c>
      <c r="P238" s="27">
        <f t="shared" si="38"/>
        <v>16361.64</v>
      </c>
      <c r="Q238" s="28">
        <f t="shared" si="39"/>
        <v>1957266.6600000025</v>
      </c>
      <c r="R238" s="8"/>
      <c r="S238" s="29">
        <f t="shared" si="33"/>
        <v>0</v>
      </c>
      <c r="T238" s="29"/>
    </row>
    <row r="239" spans="1:20" x14ac:dyDescent="0.25">
      <c r="A239" s="8"/>
      <c r="B239" s="36"/>
      <c r="C239" s="8"/>
      <c r="D239" s="8"/>
      <c r="E239" s="8"/>
      <c r="F239" s="24">
        <f t="shared" si="31"/>
        <v>365</v>
      </c>
      <c r="G239" s="25">
        <v>235</v>
      </c>
      <c r="H239" s="26">
        <f t="shared" si="32"/>
        <v>52095</v>
      </c>
      <c r="I239" s="26">
        <f t="shared" si="34"/>
        <v>52126</v>
      </c>
      <c r="J239" s="25">
        <f t="shared" si="30"/>
        <v>20</v>
      </c>
      <c r="K239" s="4"/>
      <c r="L239" s="5"/>
      <c r="M239" s="27">
        <f t="shared" si="35"/>
        <v>1957266.6600000025</v>
      </c>
      <c r="N239" s="27">
        <f t="shared" si="36"/>
        <v>24860.94</v>
      </c>
      <c r="O239" s="27">
        <f t="shared" si="37"/>
        <v>8570.0499999999993</v>
      </c>
      <c r="P239" s="27">
        <f t="shared" si="38"/>
        <v>16290.89</v>
      </c>
      <c r="Q239" s="28">
        <f t="shared" si="39"/>
        <v>1948696.6100000024</v>
      </c>
      <c r="R239" s="8"/>
      <c r="S239" s="29">
        <f t="shared" si="33"/>
        <v>0</v>
      </c>
      <c r="T239" s="29"/>
    </row>
    <row r="240" spans="1:20" x14ac:dyDescent="0.25">
      <c r="A240" s="8"/>
      <c r="B240" s="36"/>
      <c r="C240" s="8"/>
      <c r="D240" s="8"/>
      <c r="E240" s="8"/>
      <c r="F240" s="24">
        <f t="shared" si="31"/>
        <v>365</v>
      </c>
      <c r="G240" s="25">
        <v>236</v>
      </c>
      <c r="H240" s="26">
        <f t="shared" si="32"/>
        <v>52126</v>
      </c>
      <c r="I240" s="26">
        <f t="shared" si="34"/>
        <v>52156</v>
      </c>
      <c r="J240" s="25">
        <f t="shared" si="30"/>
        <v>20</v>
      </c>
      <c r="K240" s="4"/>
      <c r="L240" s="5"/>
      <c r="M240" s="27">
        <f t="shared" si="35"/>
        <v>1948696.6100000024</v>
      </c>
      <c r="N240" s="27">
        <f t="shared" si="36"/>
        <v>24860.94</v>
      </c>
      <c r="O240" s="27">
        <f t="shared" si="37"/>
        <v>9164.5899999999983</v>
      </c>
      <c r="P240" s="27">
        <f t="shared" si="38"/>
        <v>15696.35</v>
      </c>
      <c r="Q240" s="28">
        <f t="shared" si="39"/>
        <v>1939532.0200000023</v>
      </c>
      <c r="R240" s="8"/>
      <c r="S240" s="29">
        <f t="shared" si="33"/>
        <v>0</v>
      </c>
      <c r="T240" s="29"/>
    </row>
    <row r="241" spans="1:20" x14ac:dyDescent="0.25">
      <c r="A241" s="8"/>
      <c r="B241" s="36"/>
      <c r="C241" s="8"/>
      <c r="D241" s="8"/>
      <c r="E241" s="8"/>
      <c r="F241" s="24">
        <f t="shared" si="31"/>
        <v>365</v>
      </c>
      <c r="G241" s="25">
        <v>237</v>
      </c>
      <c r="H241" s="26">
        <f t="shared" si="32"/>
        <v>52156</v>
      </c>
      <c r="I241" s="26">
        <f t="shared" si="34"/>
        <v>52187</v>
      </c>
      <c r="J241" s="25">
        <f t="shared" si="30"/>
        <v>20</v>
      </c>
      <c r="K241" s="4"/>
      <c r="L241" s="5"/>
      <c r="M241" s="27">
        <f t="shared" si="35"/>
        <v>1939532.0200000023</v>
      </c>
      <c r="N241" s="27">
        <f t="shared" si="36"/>
        <v>24860.94</v>
      </c>
      <c r="O241" s="27">
        <f t="shared" si="37"/>
        <v>8717.659999999998</v>
      </c>
      <c r="P241" s="27">
        <f t="shared" si="38"/>
        <v>16143.28</v>
      </c>
      <c r="Q241" s="28">
        <f t="shared" si="39"/>
        <v>1930814.3600000024</v>
      </c>
      <c r="R241" s="8"/>
      <c r="S241" s="29">
        <f t="shared" si="33"/>
        <v>0</v>
      </c>
      <c r="T241" s="29"/>
    </row>
    <row r="242" spans="1:20" x14ac:dyDescent="0.25">
      <c r="A242" s="8"/>
      <c r="B242" s="36"/>
      <c r="C242" s="8"/>
      <c r="D242" s="8"/>
      <c r="E242" s="8"/>
      <c r="F242" s="24">
        <f t="shared" si="31"/>
        <v>365</v>
      </c>
      <c r="G242" s="25">
        <v>238</v>
      </c>
      <c r="H242" s="26">
        <f t="shared" si="32"/>
        <v>52187</v>
      </c>
      <c r="I242" s="26">
        <f t="shared" si="34"/>
        <v>52217</v>
      </c>
      <c r="J242" s="25">
        <f t="shared" si="30"/>
        <v>20</v>
      </c>
      <c r="K242" s="4"/>
      <c r="L242" s="5"/>
      <c r="M242" s="27">
        <f t="shared" si="35"/>
        <v>1930814.3600000024</v>
      </c>
      <c r="N242" s="27">
        <f t="shared" si="36"/>
        <v>24860.94</v>
      </c>
      <c r="O242" s="27">
        <f t="shared" si="37"/>
        <v>9308.6299999999992</v>
      </c>
      <c r="P242" s="27">
        <f t="shared" si="38"/>
        <v>15552.31</v>
      </c>
      <c r="Q242" s="28">
        <f t="shared" si="39"/>
        <v>1921505.7300000025</v>
      </c>
      <c r="R242" s="8"/>
      <c r="S242" s="29">
        <f t="shared" si="33"/>
        <v>0</v>
      </c>
      <c r="T242" s="29"/>
    </row>
    <row r="243" spans="1:20" x14ac:dyDescent="0.25">
      <c r="A243" s="8"/>
      <c r="B243" s="36"/>
      <c r="C243" s="8"/>
      <c r="D243" s="8"/>
      <c r="E243" s="8"/>
      <c r="F243" s="24">
        <f t="shared" si="31"/>
        <v>365</v>
      </c>
      <c r="G243" s="25">
        <v>239</v>
      </c>
      <c r="H243" s="26">
        <f t="shared" si="32"/>
        <v>52217</v>
      </c>
      <c r="I243" s="26">
        <f t="shared" si="34"/>
        <v>52248</v>
      </c>
      <c r="J243" s="25">
        <f t="shared" si="30"/>
        <v>20</v>
      </c>
      <c r="K243" s="4"/>
      <c r="L243" s="5"/>
      <c r="M243" s="27">
        <f t="shared" si="35"/>
        <v>1921505.7300000025</v>
      </c>
      <c r="N243" s="27">
        <f t="shared" si="36"/>
        <v>24860.94</v>
      </c>
      <c r="O243" s="27">
        <f t="shared" si="37"/>
        <v>8867.6999999999989</v>
      </c>
      <c r="P243" s="27">
        <f t="shared" si="38"/>
        <v>15993.24</v>
      </c>
      <c r="Q243" s="28">
        <f t="shared" si="39"/>
        <v>1912638.0300000026</v>
      </c>
      <c r="R243" s="8"/>
      <c r="S243" s="29">
        <f t="shared" si="33"/>
        <v>0</v>
      </c>
      <c r="T243" s="29"/>
    </row>
    <row r="244" spans="1:20" x14ac:dyDescent="0.25">
      <c r="A244" s="8"/>
      <c r="B244" s="36"/>
      <c r="C244" s="8"/>
      <c r="D244" s="8"/>
      <c r="E244" s="8"/>
      <c r="F244" s="24">
        <f t="shared" si="31"/>
        <v>365</v>
      </c>
      <c r="G244" s="25">
        <v>240</v>
      </c>
      <c r="H244" s="26">
        <f t="shared" si="32"/>
        <v>52248</v>
      </c>
      <c r="I244" s="26">
        <f t="shared" si="34"/>
        <v>52279</v>
      </c>
      <c r="J244" s="25">
        <f t="shared" si="30"/>
        <v>20</v>
      </c>
      <c r="K244" s="4"/>
      <c r="L244" s="5"/>
      <c r="M244" s="27">
        <f t="shared" si="35"/>
        <v>1912638.0300000026</v>
      </c>
      <c r="N244" s="27">
        <f t="shared" si="36"/>
        <v>24860.94</v>
      </c>
      <c r="O244" s="27">
        <f t="shared" si="37"/>
        <v>8941.4999999999982</v>
      </c>
      <c r="P244" s="27">
        <f t="shared" si="38"/>
        <v>15919.44</v>
      </c>
      <c r="Q244" s="28">
        <f t="shared" si="39"/>
        <v>1903696.5300000026</v>
      </c>
      <c r="R244" s="8"/>
      <c r="S244" s="29">
        <f t="shared" si="33"/>
        <v>0</v>
      </c>
      <c r="T244" s="29"/>
    </row>
    <row r="245" spans="1:20" x14ac:dyDescent="0.25">
      <c r="A245" s="8"/>
      <c r="B245" s="36"/>
      <c r="C245" s="8"/>
      <c r="D245" s="8"/>
      <c r="E245" s="8"/>
      <c r="F245" s="24">
        <f t="shared" si="31"/>
        <v>365</v>
      </c>
      <c r="G245" s="25">
        <v>241</v>
      </c>
      <c r="H245" s="26">
        <f t="shared" si="32"/>
        <v>52279</v>
      </c>
      <c r="I245" s="26">
        <f t="shared" si="34"/>
        <v>52307</v>
      </c>
      <c r="J245" s="25">
        <f t="shared" si="30"/>
        <v>21</v>
      </c>
      <c r="K245" s="4"/>
      <c r="L245" s="5"/>
      <c r="M245" s="27">
        <f t="shared" si="35"/>
        <v>1903696.5300000026</v>
      </c>
      <c r="N245" s="27">
        <f t="shared" si="36"/>
        <v>24860.94</v>
      </c>
      <c r="O245" s="27">
        <f t="shared" si="37"/>
        <v>10549.31</v>
      </c>
      <c r="P245" s="27">
        <f t="shared" si="38"/>
        <v>14311.63</v>
      </c>
      <c r="Q245" s="28">
        <f t="shared" si="39"/>
        <v>1893147.2200000025</v>
      </c>
      <c r="R245" s="8"/>
      <c r="S245" s="29">
        <f t="shared" si="33"/>
        <v>0</v>
      </c>
      <c r="T245" s="29"/>
    </row>
    <row r="246" spans="1:20" x14ac:dyDescent="0.25">
      <c r="A246" s="8"/>
      <c r="B246" s="36"/>
      <c r="C246" s="8"/>
      <c r="D246" s="8"/>
      <c r="E246" s="8"/>
      <c r="F246" s="24">
        <f t="shared" si="31"/>
        <v>365</v>
      </c>
      <c r="G246" s="25">
        <v>242</v>
      </c>
      <c r="H246" s="26">
        <f t="shared" si="32"/>
        <v>52307</v>
      </c>
      <c r="I246" s="26">
        <f t="shared" si="34"/>
        <v>52338</v>
      </c>
      <c r="J246" s="25">
        <f t="shared" si="30"/>
        <v>21</v>
      </c>
      <c r="K246" s="4"/>
      <c r="L246" s="5"/>
      <c r="M246" s="27">
        <f t="shared" si="35"/>
        <v>1893147.2200000025</v>
      </c>
      <c r="N246" s="27">
        <f t="shared" si="36"/>
        <v>24860.94</v>
      </c>
      <c r="O246" s="27">
        <f t="shared" si="37"/>
        <v>9103.73</v>
      </c>
      <c r="P246" s="27">
        <f t="shared" si="38"/>
        <v>15757.21</v>
      </c>
      <c r="Q246" s="28">
        <f t="shared" si="39"/>
        <v>1884043.4900000026</v>
      </c>
      <c r="R246" s="8"/>
      <c r="S246" s="29">
        <f t="shared" si="33"/>
        <v>0</v>
      </c>
      <c r="T246" s="29"/>
    </row>
    <row r="247" spans="1:20" x14ac:dyDescent="0.25">
      <c r="A247" s="8"/>
      <c r="B247" s="36"/>
      <c r="C247" s="8"/>
      <c r="D247" s="8"/>
      <c r="E247" s="8"/>
      <c r="F247" s="24">
        <f t="shared" si="31"/>
        <v>365</v>
      </c>
      <c r="G247" s="25">
        <v>243</v>
      </c>
      <c r="H247" s="26">
        <f t="shared" si="32"/>
        <v>52338</v>
      </c>
      <c r="I247" s="26">
        <f t="shared" si="34"/>
        <v>52368</v>
      </c>
      <c r="J247" s="25">
        <f t="shared" si="30"/>
        <v>21</v>
      </c>
      <c r="K247" s="4"/>
      <c r="L247" s="5"/>
      <c r="M247" s="27">
        <f t="shared" si="35"/>
        <v>1884043.4900000026</v>
      </c>
      <c r="N247" s="27">
        <f t="shared" si="36"/>
        <v>24860.94</v>
      </c>
      <c r="O247" s="27">
        <f t="shared" si="37"/>
        <v>9685.3599999999988</v>
      </c>
      <c r="P247" s="27">
        <f t="shared" si="38"/>
        <v>15175.58</v>
      </c>
      <c r="Q247" s="28">
        <f t="shared" si="39"/>
        <v>1874358.1300000024</v>
      </c>
      <c r="R247" s="8"/>
      <c r="S247" s="29">
        <f t="shared" si="33"/>
        <v>0</v>
      </c>
      <c r="T247" s="29"/>
    </row>
    <row r="248" spans="1:20" x14ac:dyDescent="0.25">
      <c r="A248" s="8"/>
      <c r="B248" s="36"/>
      <c r="C248" s="8"/>
      <c r="D248" s="8"/>
      <c r="E248" s="8"/>
      <c r="F248" s="24">
        <f t="shared" si="31"/>
        <v>365</v>
      </c>
      <c r="G248" s="25">
        <v>244</v>
      </c>
      <c r="H248" s="26">
        <f t="shared" si="32"/>
        <v>52368</v>
      </c>
      <c r="I248" s="26">
        <f t="shared" si="34"/>
        <v>52399</v>
      </c>
      <c r="J248" s="25">
        <f t="shared" si="30"/>
        <v>21</v>
      </c>
      <c r="K248" s="4"/>
      <c r="L248" s="5"/>
      <c r="M248" s="27">
        <f t="shared" si="35"/>
        <v>1874358.1300000024</v>
      </c>
      <c r="N248" s="27">
        <f t="shared" si="36"/>
        <v>24860.94</v>
      </c>
      <c r="O248" s="27">
        <f t="shared" si="37"/>
        <v>9260.119999999999</v>
      </c>
      <c r="P248" s="27">
        <f t="shared" si="38"/>
        <v>15600.82</v>
      </c>
      <c r="Q248" s="28">
        <f t="shared" si="39"/>
        <v>1865098.0100000023</v>
      </c>
      <c r="R248" s="8"/>
      <c r="S248" s="29">
        <f t="shared" si="33"/>
        <v>0</v>
      </c>
      <c r="T248" s="29"/>
    </row>
    <row r="249" spans="1:20" x14ac:dyDescent="0.25">
      <c r="A249" s="8"/>
      <c r="B249" s="36"/>
      <c r="C249" s="8"/>
      <c r="D249" s="8"/>
      <c r="E249" s="8"/>
      <c r="F249" s="24">
        <f t="shared" si="31"/>
        <v>365</v>
      </c>
      <c r="G249" s="25">
        <v>245</v>
      </c>
      <c r="H249" s="26">
        <f t="shared" si="32"/>
        <v>52399</v>
      </c>
      <c r="I249" s="26">
        <f t="shared" si="34"/>
        <v>52429</v>
      </c>
      <c r="J249" s="25">
        <f t="shared" si="30"/>
        <v>21</v>
      </c>
      <c r="K249" s="4"/>
      <c r="L249" s="5"/>
      <c r="M249" s="27">
        <f t="shared" si="35"/>
        <v>1865098.0100000023</v>
      </c>
      <c r="N249" s="27">
        <f t="shared" si="36"/>
        <v>24860.94</v>
      </c>
      <c r="O249" s="27">
        <f t="shared" si="37"/>
        <v>9837.9599999999991</v>
      </c>
      <c r="P249" s="27">
        <f t="shared" si="38"/>
        <v>15022.98</v>
      </c>
      <c r="Q249" s="28">
        <f t="shared" si="39"/>
        <v>1855260.0500000024</v>
      </c>
      <c r="R249" s="8"/>
      <c r="S249" s="29">
        <f t="shared" si="33"/>
        <v>0</v>
      </c>
      <c r="T249" s="29"/>
    </row>
    <row r="250" spans="1:20" x14ac:dyDescent="0.25">
      <c r="A250" s="8"/>
      <c r="B250" s="36"/>
      <c r="C250" s="8"/>
      <c r="D250" s="8"/>
      <c r="E250" s="8"/>
      <c r="F250" s="24">
        <f t="shared" si="31"/>
        <v>365</v>
      </c>
      <c r="G250" s="25">
        <v>246</v>
      </c>
      <c r="H250" s="26">
        <f t="shared" si="32"/>
        <v>52429</v>
      </c>
      <c r="I250" s="26">
        <f t="shared" si="34"/>
        <v>52460</v>
      </c>
      <c r="J250" s="25">
        <f t="shared" si="30"/>
        <v>21</v>
      </c>
      <c r="K250" s="4"/>
      <c r="L250" s="5"/>
      <c r="M250" s="27">
        <f t="shared" si="35"/>
        <v>1855260.0500000024</v>
      </c>
      <c r="N250" s="27">
        <f t="shared" si="36"/>
        <v>24860.94</v>
      </c>
      <c r="O250" s="27">
        <f t="shared" si="37"/>
        <v>9419.0799999999981</v>
      </c>
      <c r="P250" s="27">
        <f t="shared" si="38"/>
        <v>15441.86</v>
      </c>
      <c r="Q250" s="28">
        <f t="shared" si="39"/>
        <v>1845840.9700000023</v>
      </c>
      <c r="R250" s="8"/>
      <c r="S250" s="29">
        <f t="shared" si="33"/>
        <v>0</v>
      </c>
      <c r="T250" s="29"/>
    </row>
    <row r="251" spans="1:20" x14ac:dyDescent="0.25">
      <c r="A251" s="8"/>
      <c r="B251" s="36"/>
      <c r="C251" s="8"/>
      <c r="D251" s="8"/>
      <c r="E251" s="8"/>
      <c r="F251" s="24">
        <f t="shared" si="31"/>
        <v>365</v>
      </c>
      <c r="G251" s="25">
        <v>247</v>
      </c>
      <c r="H251" s="26">
        <f t="shared" si="32"/>
        <v>52460</v>
      </c>
      <c r="I251" s="26">
        <f t="shared" si="34"/>
        <v>52491</v>
      </c>
      <c r="J251" s="25">
        <f t="shared" si="30"/>
        <v>21</v>
      </c>
      <c r="K251" s="4"/>
      <c r="L251" s="5"/>
      <c r="M251" s="27">
        <f t="shared" si="35"/>
        <v>1845840.9700000023</v>
      </c>
      <c r="N251" s="27">
        <f t="shared" si="36"/>
        <v>24860.94</v>
      </c>
      <c r="O251" s="27">
        <f t="shared" si="37"/>
        <v>9497.4699999999993</v>
      </c>
      <c r="P251" s="27">
        <f t="shared" si="38"/>
        <v>15363.47</v>
      </c>
      <c r="Q251" s="28">
        <f t="shared" si="39"/>
        <v>1836343.5000000023</v>
      </c>
      <c r="R251" s="8"/>
      <c r="S251" s="29">
        <f t="shared" si="33"/>
        <v>0</v>
      </c>
      <c r="T251" s="29"/>
    </row>
    <row r="252" spans="1:20" x14ac:dyDescent="0.25">
      <c r="A252" s="8"/>
      <c r="B252" s="36"/>
      <c r="C252" s="8"/>
      <c r="D252" s="8"/>
      <c r="E252" s="8"/>
      <c r="F252" s="24">
        <f t="shared" si="31"/>
        <v>365</v>
      </c>
      <c r="G252" s="25">
        <v>248</v>
      </c>
      <c r="H252" s="26">
        <f t="shared" si="32"/>
        <v>52491</v>
      </c>
      <c r="I252" s="26">
        <f t="shared" si="34"/>
        <v>52521</v>
      </c>
      <c r="J252" s="25">
        <f t="shared" si="30"/>
        <v>21</v>
      </c>
      <c r="K252" s="4"/>
      <c r="L252" s="5"/>
      <c r="M252" s="27">
        <f t="shared" si="35"/>
        <v>1836343.5000000023</v>
      </c>
      <c r="N252" s="27">
        <f t="shared" si="36"/>
        <v>24860.94</v>
      </c>
      <c r="O252" s="27">
        <f t="shared" si="37"/>
        <v>10069.569999999998</v>
      </c>
      <c r="P252" s="27">
        <f t="shared" si="38"/>
        <v>14791.37</v>
      </c>
      <c r="Q252" s="28">
        <f t="shared" si="39"/>
        <v>1826273.9300000023</v>
      </c>
      <c r="R252" s="8"/>
      <c r="S252" s="29">
        <f t="shared" si="33"/>
        <v>0</v>
      </c>
      <c r="T252" s="29"/>
    </row>
    <row r="253" spans="1:20" x14ac:dyDescent="0.25">
      <c r="A253" s="8"/>
      <c r="B253" s="36"/>
      <c r="C253" s="8"/>
      <c r="D253" s="8"/>
      <c r="E253" s="8"/>
      <c r="F253" s="24">
        <f t="shared" si="31"/>
        <v>365</v>
      </c>
      <c r="G253" s="25">
        <v>249</v>
      </c>
      <c r="H253" s="26">
        <f t="shared" si="32"/>
        <v>52521</v>
      </c>
      <c r="I253" s="26">
        <f t="shared" si="34"/>
        <v>52552</v>
      </c>
      <c r="J253" s="25">
        <f t="shared" si="30"/>
        <v>21</v>
      </c>
      <c r="K253" s="4"/>
      <c r="L253" s="5"/>
      <c r="M253" s="27">
        <f t="shared" si="35"/>
        <v>1826273.9300000023</v>
      </c>
      <c r="N253" s="27">
        <f t="shared" si="36"/>
        <v>24860.94</v>
      </c>
      <c r="O253" s="27">
        <f t="shared" si="37"/>
        <v>9660.3399999999983</v>
      </c>
      <c r="P253" s="27">
        <f t="shared" si="38"/>
        <v>15200.6</v>
      </c>
      <c r="Q253" s="28">
        <f t="shared" si="39"/>
        <v>1816613.5900000022</v>
      </c>
      <c r="R253" s="8"/>
      <c r="S253" s="29">
        <f t="shared" si="33"/>
        <v>0</v>
      </c>
      <c r="T253" s="29"/>
    </row>
    <row r="254" spans="1:20" x14ac:dyDescent="0.25">
      <c r="A254" s="8"/>
      <c r="B254" s="36"/>
      <c r="C254" s="8"/>
      <c r="D254" s="8"/>
      <c r="E254" s="8"/>
      <c r="F254" s="24">
        <f t="shared" si="31"/>
        <v>365</v>
      </c>
      <c r="G254" s="25">
        <v>250</v>
      </c>
      <c r="H254" s="26">
        <f t="shared" si="32"/>
        <v>52552</v>
      </c>
      <c r="I254" s="26">
        <f t="shared" si="34"/>
        <v>52582</v>
      </c>
      <c r="J254" s="25">
        <f t="shared" si="30"/>
        <v>21</v>
      </c>
      <c r="K254" s="4"/>
      <c r="L254" s="5"/>
      <c r="M254" s="27">
        <f t="shared" si="35"/>
        <v>1816613.5900000022</v>
      </c>
      <c r="N254" s="27">
        <f t="shared" si="36"/>
        <v>24860.94</v>
      </c>
      <c r="O254" s="27">
        <f t="shared" si="37"/>
        <v>10228.489999999998</v>
      </c>
      <c r="P254" s="27">
        <f t="shared" si="38"/>
        <v>14632.45</v>
      </c>
      <c r="Q254" s="28">
        <f t="shared" si="39"/>
        <v>1806385.1000000022</v>
      </c>
      <c r="R254" s="8"/>
      <c r="S254" s="29">
        <f t="shared" si="33"/>
        <v>0</v>
      </c>
      <c r="T254" s="29"/>
    </row>
    <row r="255" spans="1:20" x14ac:dyDescent="0.25">
      <c r="A255" s="8"/>
      <c r="B255" s="36"/>
      <c r="C255" s="8"/>
      <c r="D255" s="8"/>
      <c r="E255" s="8"/>
      <c r="F255" s="24">
        <f t="shared" si="31"/>
        <v>366</v>
      </c>
      <c r="G255" s="25">
        <v>251</v>
      </c>
      <c r="H255" s="26">
        <f t="shared" si="32"/>
        <v>52582</v>
      </c>
      <c r="I255" s="26">
        <f t="shared" si="34"/>
        <v>52613</v>
      </c>
      <c r="J255" s="25">
        <f t="shared" si="30"/>
        <v>21</v>
      </c>
      <c r="K255" s="4"/>
      <c r="L255" s="5"/>
      <c r="M255" s="27">
        <f t="shared" si="35"/>
        <v>1806385.1000000022</v>
      </c>
      <c r="N255" s="27">
        <f t="shared" si="36"/>
        <v>24860.94</v>
      </c>
      <c r="O255" s="27">
        <f t="shared" si="37"/>
        <v>9866.9599999999991</v>
      </c>
      <c r="P255" s="27">
        <f t="shared" si="38"/>
        <v>14993.98</v>
      </c>
      <c r="Q255" s="28">
        <f t="shared" si="39"/>
        <v>1796518.1400000022</v>
      </c>
      <c r="R255" s="8"/>
      <c r="S255" s="29">
        <f t="shared" si="33"/>
        <v>0</v>
      </c>
      <c r="T255" s="29"/>
    </row>
    <row r="256" spans="1:20" x14ac:dyDescent="0.25">
      <c r="A256" s="8"/>
      <c r="B256" s="36"/>
      <c r="C256" s="8"/>
      <c r="D256" s="8"/>
      <c r="E256" s="8"/>
      <c r="F256" s="24">
        <f t="shared" si="31"/>
        <v>366</v>
      </c>
      <c r="G256" s="25">
        <v>252</v>
      </c>
      <c r="H256" s="26">
        <f t="shared" si="32"/>
        <v>52613</v>
      </c>
      <c r="I256" s="26">
        <f t="shared" si="34"/>
        <v>52644</v>
      </c>
      <c r="J256" s="25">
        <f t="shared" si="30"/>
        <v>21</v>
      </c>
      <c r="K256" s="4"/>
      <c r="L256" s="5"/>
      <c r="M256" s="27">
        <f t="shared" si="35"/>
        <v>1796518.1400000022</v>
      </c>
      <c r="N256" s="27">
        <f t="shared" si="36"/>
        <v>24860.94</v>
      </c>
      <c r="O256" s="27">
        <f t="shared" si="37"/>
        <v>9948.8599999999988</v>
      </c>
      <c r="P256" s="27">
        <f t="shared" si="38"/>
        <v>14912.08</v>
      </c>
      <c r="Q256" s="28">
        <f t="shared" si="39"/>
        <v>1786569.2800000021</v>
      </c>
      <c r="R256" s="8"/>
      <c r="S256" s="29">
        <f t="shared" si="33"/>
        <v>0</v>
      </c>
      <c r="T256" s="29"/>
    </row>
    <row r="257" spans="1:20" x14ac:dyDescent="0.25">
      <c r="A257" s="8"/>
      <c r="B257" s="36"/>
      <c r="C257" s="8"/>
      <c r="D257" s="8"/>
      <c r="E257" s="8"/>
      <c r="F257" s="24">
        <f t="shared" si="31"/>
        <v>366</v>
      </c>
      <c r="G257" s="25">
        <v>253</v>
      </c>
      <c r="H257" s="26">
        <f t="shared" si="32"/>
        <v>52644</v>
      </c>
      <c r="I257" s="26">
        <f t="shared" si="34"/>
        <v>52673</v>
      </c>
      <c r="J257" s="25">
        <f t="shared" si="30"/>
        <v>22</v>
      </c>
      <c r="K257" s="4"/>
      <c r="L257" s="5"/>
      <c r="M257" s="27">
        <f t="shared" si="35"/>
        <v>1786569.2800000021</v>
      </c>
      <c r="N257" s="27">
        <f t="shared" si="36"/>
        <v>24860.94</v>
      </c>
      <c r="O257" s="27">
        <f t="shared" si="37"/>
        <v>10988.179999999998</v>
      </c>
      <c r="P257" s="27">
        <f t="shared" si="38"/>
        <v>13872.76</v>
      </c>
      <c r="Q257" s="28">
        <f t="shared" si="39"/>
        <v>1775581.1000000022</v>
      </c>
      <c r="R257" s="8"/>
      <c r="S257" s="29">
        <f t="shared" si="33"/>
        <v>0</v>
      </c>
      <c r="T257" s="29"/>
    </row>
    <row r="258" spans="1:20" x14ac:dyDescent="0.25">
      <c r="A258" s="8"/>
      <c r="B258" s="36"/>
      <c r="C258" s="8"/>
      <c r="D258" s="8"/>
      <c r="E258" s="8"/>
      <c r="F258" s="24">
        <f t="shared" si="31"/>
        <v>366</v>
      </c>
      <c r="G258" s="25">
        <v>254</v>
      </c>
      <c r="H258" s="26">
        <f t="shared" si="32"/>
        <v>52673</v>
      </c>
      <c r="I258" s="26">
        <f t="shared" si="34"/>
        <v>52704</v>
      </c>
      <c r="J258" s="25">
        <f t="shared" si="30"/>
        <v>22</v>
      </c>
      <c r="K258" s="4"/>
      <c r="L258" s="5"/>
      <c r="M258" s="27">
        <f t="shared" si="35"/>
        <v>1775581.1000000022</v>
      </c>
      <c r="N258" s="27">
        <f t="shared" si="36"/>
        <v>24860.94</v>
      </c>
      <c r="O258" s="27">
        <f t="shared" si="37"/>
        <v>10122.649999999998</v>
      </c>
      <c r="P258" s="27">
        <f t="shared" si="38"/>
        <v>14738.29</v>
      </c>
      <c r="Q258" s="28">
        <f t="shared" si="39"/>
        <v>1765458.4500000023</v>
      </c>
      <c r="R258" s="8"/>
      <c r="S258" s="29">
        <f t="shared" si="33"/>
        <v>0</v>
      </c>
      <c r="T258" s="29"/>
    </row>
    <row r="259" spans="1:20" x14ac:dyDescent="0.25">
      <c r="A259" s="8"/>
      <c r="B259" s="36"/>
      <c r="C259" s="8"/>
      <c r="D259" s="8"/>
      <c r="E259" s="8"/>
      <c r="F259" s="24">
        <f t="shared" si="31"/>
        <v>366</v>
      </c>
      <c r="G259" s="25">
        <v>255</v>
      </c>
      <c r="H259" s="26">
        <f t="shared" si="32"/>
        <v>52704</v>
      </c>
      <c r="I259" s="26">
        <f t="shared" si="34"/>
        <v>52734</v>
      </c>
      <c r="J259" s="25">
        <f t="shared" si="30"/>
        <v>22</v>
      </c>
      <c r="K259" s="4"/>
      <c r="L259" s="5"/>
      <c r="M259" s="27">
        <f t="shared" si="35"/>
        <v>1765458.4500000023</v>
      </c>
      <c r="N259" s="27">
        <f t="shared" si="36"/>
        <v>24860.94</v>
      </c>
      <c r="O259" s="27">
        <f t="shared" si="37"/>
        <v>10679.39</v>
      </c>
      <c r="P259" s="27">
        <f t="shared" si="38"/>
        <v>14181.55</v>
      </c>
      <c r="Q259" s="28">
        <f t="shared" si="39"/>
        <v>1754779.0600000024</v>
      </c>
      <c r="R259" s="8"/>
      <c r="S259" s="29">
        <f t="shared" si="33"/>
        <v>0</v>
      </c>
      <c r="T259" s="29"/>
    </row>
    <row r="260" spans="1:20" x14ac:dyDescent="0.25">
      <c r="A260" s="8"/>
      <c r="B260" s="36"/>
      <c r="C260" s="8"/>
      <c r="D260" s="8"/>
      <c r="E260" s="8"/>
      <c r="F260" s="24">
        <f t="shared" si="31"/>
        <v>366</v>
      </c>
      <c r="G260" s="25">
        <v>256</v>
      </c>
      <c r="H260" s="26">
        <f t="shared" si="32"/>
        <v>52734</v>
      </c>
      <c r="I260" s="26">
        <f t="shared" si="34"/>
        <v>52765</v>
      </c>
      <c r="J260" s="25">
        <f t="shared" si="30"/>
        <v>22</v>
      </c>
      <c r="K260" s="4"/>
      <c r="L260" s="5"/>
      <c r="M260" s="27">
        <f t="shared" si="35"/>
        <v>1754779.0600000024</v>
      </c>
      <c r="N260" s="27">
        <f t="shared" si="36"/>
        <v>24860.94</v>
      </c>
      <c r="O260" s="27">
        <f t="shared" si="37"/>
        <v>10295.31</v>
      </c>
      <c r="P260" s="27">
        <f t="shared" si="38"/>
        <v>14565.63</v>
      </c>
      <c r="Q260" s="28">
        <f t="shared" si="39"/>
        <v>1744483.7500000023</v>
      </c>
      <c r="R260" s="8"/>
      <c r="S260" s="29">
        <f t="shared" si="33"/>
        <v>0</v>
      </c>
      <c r="T260" s="29"/>
    </row>
    <row r="261" spans="1:20" x14ac:dyDescent="0.25">
      <c r="A261" s="8"/>
      <c r="B261" s="36"/>
      <c r="C261" s="8"/>
      <c r="D261" s="8"/>
      <c r="E261" s="8"/>
      <c r="F261" s="24">
        <f t="shared" si="31"/>
        <v>366</v>
      </c>
      <c r="G261" s="25">
        <v>257</v>
      </c>
      <c r="H261" s="26">
        <f t="shared" si="32"/>
        <v>52765</v>
      </c>
      <c r="I261" s="26">
        <f t="shared" si="34"/>
        <v>52795</v>
      </c>
      <c r="J261" s="25">
        <f t="shared" ref="J261:J324" si="40">ROUNDUP(G261/12,0)</f>
        <v>22</v>
      </c>
      <c r="K261" s="4"/>
      <c r="L261" s="5"/>
      <c r="M261" s="27">
        <f t="shared" si="35"/>
        <v>1744483.7500000023</v>
      </c>
      <c r="N261" s="27">
        <f t="shared" si="36"/>
        <v>24860.94</v>
      </c>
      <c r="O261" s="27">
        <f t="shared" si="37"/>
        <v>10847.869999999999</v>
      </c>
      <c r="P261" s="27">
        <f t="shared" si="38"/>
        <v>14013.07</v>
      </c>
      <c r="Q261" s="28">
        <f t="shared" si="39"/>
        <v>1733635.8800000022</v>
      </c>
      <c r="R261" s="8"/>
      <c r="S261" s="29">
        <f t="shared" si="33"/>
        <v>0</v>
      </c>
      <c r="T261" s="29"/>
    </row>
    <row r="262" spans="1:20" x14ac:dyDescent="0.25">
      <c r="A262" s="8"/>
      <c r="B262" s="36"/>
      <c r="C262" s="8"/>
      <c r="D262" s="8"/>
      <c r="E262" s="8"/>
      <c r="F262" s="24">
        <f t="shared" ref="F262:F325" si="41">DATE(YEAR(I262),12,31)-DATE(YEAR(I262),1,1)+1</f>
        <v>366</v>
      </c>
      <c r="G262" s="25">
        <v>258</v>
      </c>
      <c r="H262" s="26">
        <f t="shared" ref="H262:H325" si="42">I261</f>
        <v>52795</v>
      </c>
      <c r="I262" s="26">
        <f t="shared" si="34"/>
        <v>52826</v>
      </c>
      <c r="J262" s="25">
        <f t="shared" si="40"/>
        <v>22</v>
      </c>
      <c r="K262" s="4"/>
      <c r="L262" s="5"/>
      <c r="M262" s="27">
        <f t="shared" si="35"/>
        <v>1733635.8800000022</v>
      </c>
      <c r="N262" s="27">
        <f t="shared" si="36"/>
        <v>24860.94</v>
      </c>
      <c r="O262" s="27">
        <f t="shared" si="37"/>
        <v>10470.81</v>
      </c>
      <c r="P262" s="27">
        <f t="shared" si="38"/>
        <v>14390.13</v>
      </c>
      <c r="Q262" s="28">
        <f t="shared" si="39"/>
        <v>1723165.0700000022</v>
      </c>
      <c r="R262" s="8"/>
      <c r="S262" s="29">
        <f t="shared" ref="S262:S325" si="43">IF(AND(K261=$V$4,L261&gt;0),1,0)</f>
        <v>0</v>
      </c>
      <c r="T262" s="29"/>
    </row>
    <row r="263" spans="1:20" x14ac:dyDescent="0.25">
      <c r="A263" s="8"/>
      <c r="B263" s="36"/>
      <c r="C263" s="8"/>
      <c r="D263" s="8"/>
      <c r="E263" s="8"/>
      <c r="F263" s="24">
        <f t="shared" si="41"/>
        <v>366</v>
      </c>
      <c r="G263" s="25">
        <v>259</v>
      </c>
      <c r="H263" s="26">
        <f t="shared" si="42"/>
        <v>52826</v>
      </c>
      <c r="I263" s="26">
        <f t="shared" ref="I263:I326" si="44">EDATE(I262,1)</f>
        <v>52857</v>
      </c>
      <c r="J263" s="25">
        <f t="shared" si="40"/>
        <v>22</v>
      </c>
      <c r="K263" s="4"/>
      <c r="L263" s="5"/>
      <c r="M263" s="27">
        <f t="shared" ref="M263:M326" si="45">Q262</f>
        <v>1723165.0700000022</v>
      </c>
      <c r="N263" s="27">
        <f t="shared" ref="N263:N326" si="46">IF(M263&lt;$C$10,M263*((1+$C$9*(DATEDIF(H263,I263,"d")+1)/F263)),IF(AND(L262&lt;&gt;0,K262=$V$4),ROUND(M263*$C$9/12/(1-(1+$C$9/12)^(-(($C$8*12-G262)-1))),2),IF(G263=2,$C$10,N262)))</f>
        <v>24860.94</v>
      </c>
      <c r="O263" s="27">
        <f t="shared" ref="O263:O326" si="47">IFERROR(IF(M263&gt;N263,N263-P263,M263),"-")</f>
        <v>10557.73</v>
      </c>
      <c r="P263" s="27">
        <f t="shared" ref="P263:P326" si="48">IFERROR(IF($C$8*12&gt;=G263,ROUND(M263*$C$9*DATEDIF(H263,I263,"d")/F263,2),0),"-")</f>
        <v>14303.21</v>
      </c>
      <c r="Q263" s="28">
        <f t="shared" ref="Q263:Q326" si="49">M263-O263-IF(K263="",0,L263)</f>
        <v>1712607.3400000022</v>
      </c>
      <c r="R263" s="8"/>
      <c r="S263" s="29">
        <f t="shared" si="43"/>
        <v>0</v>
      </c>
      <c r="T263" s="29"/>
    </row>
    <row r="264" spans="1:20" x14ac:dyDescent="0.25">
      <c r="A264" s="8"/>
      <c r="B264" s="36"/>
      <c r="C264" s="8"/>
      <c r="D264" s="8"/>
      <c r="E264" s="8"/>
      <c r="F264" s="24">
        <f t="shared" si="41"/>
        <v>366</v>
      </c>
      <c r="G264" s="25">
        <v>260</v>
      </c>
      <c r="H264" s="26">
        <f t="shared" si="42"/>
        <v>52857</v>
      </c>
      <c r="I264" s="26">
        <f t="shared" si="44"/>
        <v>52887</v>
      </c>
      <c r="J264" s="25">
        <f t="shared" si="40"/>
        <v>22</v>
      </c>
      <c r="K264" s="4"/>
      <c r="L264" s="5"/>
      <c r="M264" s="27">
        <f t="shared" si="45"/>
        <v>1712607.3400000022</v>
      </c>
      <c r="N264" s="27">
        <f t="shared" si="46"/>
        <v>24860.94</v>
      </c>
      <c r="O264" s="27">
        <f t="shared" si="47"/>
        <v>11103.929999999998</v>
      </c>
      <c r="P264" s="27">
        <f t="shared" si="48"/>
        <v>13757.01</v>
      </c>
      <c r="Q264" s="28">
        <f t="shared" si="49"/>
        <v>1701503.4100000022</v>
      </c>
      <c r="R264" s="8"/>
      <c r="S264" s="29">
        <f t="shared" si="43"/>
        <v>0</v>
      </c>
      <c r="T264" s="29"/>
    </row>
    <row r="265" spans="1:20" x14ac:dyDescent="0.25">
      <c r="A265" s="8"/>
      <c r="B265" s="36"/>
      <c r="C265" s="8"/>
      <c r="D265" s="8"/>
      <c r="E265" s="8"/>
      <c r="F265" s="24">
        <f t="shared" si="41"/>
        <v>366</v>
      </c>
      <c r="G265" s="25">
        <v>261</v>
      </c>
      <c r="H265" s="26">
        <f t="shared" si="42"/>
        <v>52887</v>
      </c>
      <c r="I265" s="26">
        <f t="shared" si="44"/>
        <v>52918</v>
      </c>
      <c r="J265" s="25">
        <f t="shared" si="40"/>
        <v>22</v>
      </c>
      <c r="K265" s="4"/>
      <c r="L265" s="5"/>
      <c r="M265" s="27">
        <f t="shared" si="45"/>
        <v>1701503.4100000022</v>
      </c>
      <c r="N265" s="27">
        <f t="shared" si="46"/>
        <v>24860.94</v>
      </c>
      <c r="O265" s="27">
        <f t="shared" si="47"/>
        <v>10737.529999999999</v>
      </c>
      <c r="P265" s="27">
        <f t="shared" si="48"/>
        <v>14123.41</v>
      </c>
      <c r="Q265" s="28">
        <f t="shared" si="49"/>
        <v>1690765.8800000022</v>
      </c>
      <c r="R265" s="8"/>
      <c r="S265" s="29">
        <f t="shared" si="43"/>
        <v>0</v>
      </c>
      <c r="T265" s="29"/>
    </row>
    <row r="266" spans="1:20" x14ac:dyDescent="0.25">
      <c r="A266" s="8"/>
      <c r="B266" s="36"/>
      <c r="C266" s="8"/>
      <c r="D266" s="8"/>
      <c r="E266" s="8"/>
      <c r="F266" s="24">
        <f t="shared" si="41"/>
        <v>366</v>
      </c>
      <c r="G266" s="25">
        <v>262</v>
      </c>
      <c r="H266" s="26">
        <f t="shared" si="42"/>
        <v>52918</v>
      </c>
      <c r="I266" s="26">
        <f t="shared" si="44"/>
        <v>52948</v>
      </c>
      <c r="J266" s="25">
        <f t="shared" si="40"/>
        <v>22</v>
      </c>
      <c r="K266" s="4"/>
      <c r="L266" s="5"/>
      <c r="M266" s="27">
        <f t="shared" si="45"/>
        <v>1690765.8800000022</v>
      </c>
      <c r="N266" s="27">
        <f t="shared" si="46"/>
        <v>24860.94</v>
      </c>
      <c r="O266" s="27">
        <f t="shared" si="47"/>
        <v>11279.38</v>
      </c>
      <c r="P266" s="27">
        <f t="shared" si="48"/>
        <v>13581.56</v>
      </c>
      <c r="Q266" s="28">
        <f t="shared" si="49"/>
        <v>1679486.5000000023</v>
      </c>
      <c r="R266" s="8"/>
      <c r="S266" s="29">
        <f t="shared" si="43"/>
        <v>0</v>
      </c>
      <c r="T266" s="29"/>
    </row>
    <row r="267" spans="1:20" x14ac:dyDescent="0.25">
      <c r="A267" s="8"/>
      <c r="B267" s="36"/>
      <c r="C267" s="8"/>
      <c r="D267" s="8"/>
      <c r="E267" s="8"/>
      <c r="F267" s="24">
        <f t="shared" si="41"/>
        <v>365</v>
      </c>
      <c r="G267" s="25">
        <v>263</v>
      </c>
      <c r="H267" s="26">
        <f t="shared" si="42"/>
        <v>52948</v>
      </c>
      <c r="I267" s="26">
        <f t="shared" si="44"/>
        <v>52979</v>
      </c>
      <c r="J267" s="25">
        <f t="shared" si="40"/>
        <v>22</v>
      </c>
      <c r="K267" s="4"/>
      <c r="L267" s="5"/>
      <c r="M267" s="27">
        <f t="shared" si="45"/>
        <v>1679486.5000000023</v>
      </c>
      <c r="N267" s="27">
        <f t="shared" si="46"/>
        <v>24860.94</v>
      </c>
      <c r="O267" s="27">
        <f t="shared" si="47"/>
        <v>10882.089999999998</v>
      </c>
      <c r="P267" s="27">
        <f t="shared" si="48"/>
        <v>13978.85</v>
      </c>
      <c r="Q267" s="28">
        <f t="shared" si="49"/>
        <v>1668604.4100000022</v>
      </c>
      <c r="R267" s="8"/>
      <c r="S267" s="29">
        <f t="shared" si="43"/>
        <v>0</v>
      </c>
      <c r="T267" s="29"/>
    </row>
    <row r="268" spans="1:20" x14ac:dyDescent="0.25">
      <c r="A268" s="8"/>
      <c r="B268" s="36"/>
      <c r="C268" s="8"/>
      <c r="D268" s="8"/>
      <c r="E268" s="8"/>
      <c r="F268" s="24">
        <f t="shared" si="41"/>
        <v>365</v>
      </c>
      <c r="G268" s="25">
        <v>264</v>
      </c>
      <c r="H268" s="26">
        <f t="shared" si="42"/>
        <v>52979</v>
      </c>
      <c r="I268" s="26">
        <f t="shared" si="44"/>
        <v>53010</v>
      </c>
      <c r="J268" s="25">
        <f t="shared" si="40"/>
        <v>22</v>
      </c>
      <c r="K268" s="4"/>
      <c r="L268" s="5"/>
      <c r="M268" s="27">
        <f t="shared" si="45"/>
        <v>1668604.4100000022</v>
      </c>
      <c r="N268" s="27">
        <f t="shared" si="46"/>
        <v>24860.94</v>
      </c>
      <c r="O268" s="27">
        <f t="shared" si="47"/>
        <v>10972.669999999998</v>
      </c>
      <c r="P268" s="27">
        <f t="shared" si="48"/>
        <v>13888.27</v>
      </c>
      <c r="Q268" s="28">
        <f t="shared" si="49"/>
        <v>1657631.7400000023</v>
      </c>
      <c r="R268" s="8"/>
      <c r="S268" s="29">
        <f t="shared" si="43"/>
        <v>0</v>
      </c>
      <c r="T268" s="29"/>
    </row>
    <row r="269" spans="1:20" x14ac:dyDescent="0.25">
      <c r="A269" s="8"/>
      <c r="B269" s="36"/>
      <c r="C269" s="8"/>
      <c r="D269" s="8"/>
      <c r="E269" s="8"/>
      <c r="F269" s="24">
        <f t="shared" si="41"/>
        <v>365</v>
      </c>
      <c r="G269" s="25">
        <v>265</v>
      </c>
      <c r="H269" s="26">
        <f t="shared" si="42"/>
        <v>53010</v>
      </c>
      <c r="I269" s="26">
        <f t="shared" si="44"/>
        <v>53038</v>
      </c>
      <c r="J269" s="25">
        <f t="shared" si="40"/>
        <v>23</v>
      </c>
      <c r="K269" s="4"/>
      <c r="L269" s="5"/>
      <c r="M269" s="27">
        <f t="shared" si="45"/>
        <v>1657631.7400000023</v>
      </c>
      <c r="N269" s="27">
        <f t="shared" si="46"/>
        <v>24860.94</v>
      </c>
      <c r="O269" s="27">
        <f t="shared" si="47"/>
        <v>12399.179999999998</v>
      </c>
      <c r="P269" s="27">
        <f t="shared" si="48"/>
        <v>12461.76</v>
      </c>
      <c r="Q269" s="28">
        <f t="shared" si="49"/>
        <v>1645232.5600000024</v>
      </c>
      <c r="R269" s="8"/>
      <c r="S269" s="29">
        <f t="shared" si="43"/>
        <v>0</v>
      </c>
      <c r="T269" s="29"/>
    </row>
    <row r="270" spans="1:20" x14ac:dyDescent="0.25">
      <c r="A270" s="8"/>
      <c r="B270" s="36"/>
      <c r="C270" s="8"/>
      <c r="D270" s="8"/>
      <c r="E270" s="8"/>
      <c r="F270" s="24">
        <f t="shared" si="41"/>
        <v>365</v>
      </c>
      <c r="G270" s="25">
        <v>266</v>
      </c>
      <c r="H270" s="26">
        <f t="shared" si="42"/>
        <v>53038</v>
      </c>
      <c r="I270" s="26">
        <f t="shared" si="44"/>
        <v>53069</v>
      </c>
      <c r="J270" s="25">
        <f t="shared" si="40"/>
        <v>23</v>
      </c>
      <c r="K270" s="4"/>
      <c r="L270" s="5"/>
      <c r="M270" s="27">
        <f t="shared" si="45"/>
        <v>1645232.5600000024</v>
      </c>
      <c r="N270" s="27">
        <f t="shared" si="46"/>
        <v>24860.94</v>
      </c>
      <c r="O270" s="27">
        <f t="shared" si="47"/>
        <v>11167.199999999999</v>
      </c>
      <c r="P270" s="27">
        <f t="shared" si="48"/>
        <v>13693.74</v>
      </c>
      <c r="Q270" s="28">
        <f t="shared" si="49"/>
        <v>1634065.3600000024</v>
      </c>
      <c r="R270" s="8"/>
      <c r="S270" s="29">
        <f t="shared" si="43"/>
        <v>0</v>
      </c>
      <c r="T270" s="29"/>
    </row>
    <row r="271" spans="1:20" x14ac:dyDescent="0.25">
      <c r="A271" s="8"/>
      <c r="B271" s="36"/>
      <c r="C271" s="8"/>
      <c r="D271" s="8"/>
      <c r="E271" s="8"/>
      <c r="F271" s="24">
        <f t="shared" si="41"/>
        <v>365</v>
      </c>
      <c r="G271" s="25">
        <v>267</v>
      </c>
      <c r="H271" s="26">
        <f t="shared" si="42"/>
        <v>53069</v>
      </c>
      <c r="I271" s="26">
        <f t="shared" si="44"/>
        <v>53099</v>
      </c>
      <c r="J271" s="25">
        <f t="shared" si="40"/>
        <v>23</v>
      </c>
      <c r="K271" s="4"/>
      <c r="L271" s="5"/>
      <c r="M271" s="27">
        <f t="shared" si="45"/>
        <v>1634065.3600000024</v>
      </c>
      <c r="N271" s="27">
        <f t="shared" si="46"/>
        <v>24860.94</v>
      </c>
      <c r="O271" s="27">
        <f t="shared" si="47"/>
        <v>11698.88</v>
      </c>
      <c r="P271" s="27">
        <f t="shared" si="48"/>
        <v>13162.06</v>
      </c>
      <c r="Q271" s="28">
        <f t="shared" si="49"/>
        <v>1622366.4800000025</v>
      </c>
      <c r="R271" s="8"/>
      <c r="S271" s="29">
        <f t="shared" si="43"/>
        <v>0</v>
      </c>
      <c r="T271" s="29"/>
    </row>
    <row r="272" spans="1:20" x14ac:dyDescent="0.25">
      <c r="A272" s="8"/>
      <c r="B272" s="36"/>
      <c r="C272" s="8"/>
      <c r="D272" s="8"/>
      <c r="E272" s="8"/>
      <c r="F272" s="24">
        <f t="shared" si="41"/>
        <v>365</v>
      </c>
      <c r="G272" s="25">
        <v>268</v>
      </c>
      <c r="H272" s="26">
        <f t="shared" si="42"/>
        <v>53099</v>
      </c>
      <c r="I272" s="26">
        <f t="shared" si="44"/>
        <v>53130</v>
      </c>
      <c r="J272" s="25">
        <f t="shared" si="40"/>
        <v>23</v>
      </c>
      <c r="K272" s="4"/>
      <c r="L272" s="5"/>
      <c r="M272" s="27">
        <f t="shared" si="45"/>
        <v>1622366.4800000025</v>
      </c>
      <c r="N272" s="27">
        <f t="shared" si="46"/>
        <v>24860.94</v>
      </c>
      <c r="O272" s="27">
        <f t="shared" si="47"/>
        <v>11357.519999999999</v>
      </c>
      <c r="P272" s="27">
        <f t="shared" si="48"/>
        <v>13503.42</v>
      </c>
      <c r="Q272" s="28">
        <f t="shared" si="49"/>
        <v>1611008.9600000025</v>
      </c>
      <c r="R272" s="8"/>
      <c r="S272" s="29">
        <f t="shared" si="43"/>
        <v>0</v>
      </c>
      <c r="T272" s="29"/>
    </row>
    <row r="273" spans="1:20" x14ac:dyDescent="0.25">
      <c r="A273" s="8"/>
      <c r="B273" s="36"/>
      <c r="C273" s="8"/>
      <c r="D273" s="8"/>
      <c r="E273" s="8"/>
      <c r="F273" s="24">
        <f t="shared" si="41"/>
        <v>365</v>
      </c>
      <c r="G273" s="25">
        <v>269</v>
      </c>
      <c r="H273" s="26">
        <f t="shared" si="42"/>
        <v>53130</v>
      </c>
      <c r="I273" s="26">
        <f t="shared" si="44"/>
        <v>53160</v>
      </c>
      <c r="J273" s="25">
        <f t="shared" si="40"/>
        <v>23</v>
      </c>
      <c r="K273" s="4"/>
      <c r="L273" s="5"/>
      <c r="M273" s="27">
        <f t="shared" si="45"/>
        <v>1611008.9600000025</v>
      </c>
      <c r="N273" s="27">
        <f t="shared" si="46"/>
        <v>24860.94</v>
      </c>
      <c r="O273" s="27">
        <f t="shared" si="47"/>
        <v>11884.589999999998</v>
      </c>
      <c r="P273" s="27">
        <f t="shared" si="48"/>
        <v>12976.35</v>
      </c>
      <c r="Q273" s="28">
        <f t="shared" si="49"/>
        <v>1599124.3700000024</v>
      </c>
      <c r="R273" s="8"/>
      <c r="S273" s="29">
        <f t="shared" si="43"/>
        <v>0</v>
      </c>
      <c r="T273" s="29"/>
    </row>
    <row r="274" spans="1:20" x14ac:dyDescent="0.25">
      <c r="A274" s="8"/>
      <c r="B274" s="36"/>
      <c r="C274" s="8"/>
      <c r="D274" s="8"/>
      <c r="E274" s="8"/>
      <c r="F274" s="24">
        <f t="shared" si="41"/>
        <v>365</v>
      </c>
      <c r="G274" s="25">
        <v>270</v>
      </c>
      <c r="H274" s="26">
        <f t="shared" si="42"/>
        <v>53160</v>
      </c>
      <c r="I274" s="26">
        <f t="shared" si="44"/>
        <v>53191</v>
      </c>
      <c r="J274" s="25">
        <f t="shared" si="40"/>
        <v>23</v>
      </c>
      <c r="K274" s="4"/>
      <c r="L274" s="5"/>
      <c r="M274" s="27">
        <f t="shared" si="45"/>
        <v>1599124.3700000024</v>
      </c>
      <c r="N274" s="27">
        <f t="shared" si="46"/>
        <v>24860.94</v>
      </c>
      <c r="O274" s="27">
        <f t="shared" si="47"/>
        <v>11550.97</v>
      </c>
      <c r="P274" s="27">
        <f t="shared" si="48"/>
        <v>13309.97</v>
      </c>
      <c r="Q274" s="28">
        <f t="shared" si="49"/>
        <v>1587573.4000000025</v>
      </c>
      <c r="R274" s="8"/>
      <c r="S274" s="29">
        <f t="shared" si="43"/>
        <v>0</v>
      </c>
      <c r="T274" s="29"/>
    </row>
    <row r="275" spans="1:20" x14ac:dyDescent="0.25">
      <c r="A275" s="8"/>
      <c r="B275" s="36"/>
      <c r="C275" s="8"/>
      <c r="D275" s="8"/>
      <c r="E275" s="8"/>
      <c r="F275" s="24">
        <f t="shared" si="41"/>
        <v>365</v>
      </c>
      <c r="G275" s="25">
        <v>271</v>
      </c>
      <c r="H275" s="26">
        <f t="shared" si="42"/>
        <v>53191</v>
      </c>
      <c r="I275" s="26">
        <f t="shared" si="44"/>
        <v>53222</v>
      </c>
      <c r="J275" s="25">
        <f t="shared" si="40"/>
        <v>23</v>
      </c>
      <c r="K275" s="4"/>
      <c r="L275" s="5"/>
      <c r="M275" s="27">
        <f t="shared" si="45"/>
        <v>1587573.4000000025</v>
      </c>
      <c r="N275" s="27">
        <f t="shared" si="46"/>
        <v>24860.94</v>
      </c>
      <c r="O275" s="27">
        <f t="shared" si="47"/>
        <v>11647.109999999999</v>
      </c>
      <c r="P275" s="27">
        <f t="shared" si="48"/>
        <v>13213.83</v>
      </c>
      <c r="Q275" s="28">
        <f t="shared" si="49"/>
        <v>1575926.2900000024</v>
      </c>
      <c r="R275" s="8"/>
      <c r="S275" s="29">
        <f t="shared" si="43"/>
        <v>0</v>
      </c>
      <c r="T275" s="29"/>
    </row>
    <row r="276" spans="1:20" x14ac:dyDescent="0.25">
      <c r="A276" s="8"/>
      <c r="B276" s="36"/>
      <c r="C276" s="8"/>
      <c r="D276" s="8"/>
      <c r="E276" s="8"/>
      <c r="F276" s="24">
        <f t="shared" si="41"/>
        <v>365</v>
      </c>
      <c r="G276" s="25">
        <v>272</v>
      </c>
      <c r="H276" s="26">
        <f t="shared" si="42"/>
        <v>53222</v>
      </c>
      <c r="I276" s="26">
        <f t="shared" si="44"/>
        <v>53252</v>
      </c>
      <c r="J276" s="25">
        <f t="shared" si="40"/>
        <v>23</v>
      </c>
      <c r="K276" s="4"/>
      <c r="L276" s="5"/>
      <c r="M276" s="27">
        <f t="shared" si="45"/>
        <v>1575926.2900000024</v>
      </c>
      <c r="N276" s="27">
        <f t="shared" si="46"/>
        <v>24860.94</v>
      </c>
      <c r="O276" s="27">
        <f t="shared" si="47"/>
        <v>12167.179999999998</v>
      </c>
      <c r="P276" s="27">
        <f t="shared" si="48"/>
        <v>12693.76</v>
      </c>
      <c r="Q276" s="28">
        <f t="shared" si="49"/>
        <v>1563759.1100000024</v>
      </c>
      <c r="R276" s="8"/>
      <c r="S276" s="29">
        <f t="shared" si="43"/>
        <v>0</v>
      </c>
      <c r="T276" s="29"/>
    </row>
    <row r="277" spans="1:20" x14ac:dyDescent="0.25">
      <c r="A277" s="8"/>
      <c r="B277" s="36"/>
      <c r="C277" s="8"/>
      <c r="D277" s="8"/>
      <c r="E277" s="8"/>
      <c r="F277" s="24">
        <f t="shared" si="41"/>
        <v>365</v>
      </c>
      <c r="G277" s="25">
        <v>273</v>
      </c>
      <c r="H277" s="26">
        <f t="shared" si="42"/>
        <v>53252</v>
      </c>
      <c r="I277" s="26">
        <f t="shared" si="44"/>
        <v>53283</v>
      </c>
      <c r="J277" s="25">
        <f t="shared" si="40"/>
        <v>23</v>
      </c>
      <c r="K277" s="4"/>
      <c r="L277" s="5"/>
      <c r="M277" s="27">
        <f t="shared" si="45"/>
        <v>1563759.1100000024</v>
      </c>
      <c r="N277" s="27">
        <f t="shared" si="46"/>
        <v>24860.94</v>
      </c>
      <c r="O277" s="27">
        <f t="shared" si="47"/>
        <v>11845.319999999998</v>
      </c>
      <c r="P277" s="27">
        <f t="shared" si="48"/>
        <v>13015.62</v>
      </c>
      <c r="Q277" s="28">
        <f t="shared" si="49"/>
        <v>1551913.7900000024</v>
      </c>
      <c r="R277" s="8"/>
      <c r="S277" s="29">
        <f t="shared" si="43"/>
        <v>0</v>
      </c>
      <c r="T277" s="29"/>
    </row>
    <row r="278" spans="1:20" x14ac:dyDescent="0.25">
      <c r="A278" s="8"/>
      <c r="B278" s="36"/>
      <c r="C278" s="8"/>
      <c r="D278" s="8"/>
      <c r="E278" s="8"/>
      <c r="F278" s="24">
        <f t="shared" si="41"/>
        <v>365</v>
      </c>
      <c r="G278" s="25">
        <v>274</v>
      </c>
      <c r="H278" s="26">
        <f t="shared" si="42"/>
        <v>53283</v>
      </c>
      <c r="I278" s="26">
        <f t="shared" si="44"/>
        <v>53313</v>
      </c>
      <c r="J278" s="25">
        <f t="shared" si="40"/>
        <v>23</v>
      </c>
      <c r="K278" s="4"/>
      <c r="L278" s="5"/>
      <c r="M278" s="27">
        <f t="shared" si="45"/>
        <v>1551913.7900000024</v>
      </c>
      <c r="N278" s="27">
        <f t="shared" si="46"/>
        <v>24860.94</v>
      </c>
      <c r="O278" s="27">
        <f t="shared" si="47"/>
        <v>12360.589999999998</v>
      </c>
      <c r="P278" s="27">
        <f t="shared" si="48"/>
        <v>12500.35</v>
      </c>
      <c r="Q278" s="28">
        <f t="shared" si="49"/>
        <v>1539553.2000000023</v>
      </c>
      <c r="R278" s="8"/>
      <c r="S278" s="29">
        <f t="shared" si="43"/>
        <v>0</v>
      </c>
      <c r="T278" s="29"/>
    </row>
    <row r="279" spans="1:20" x14ac:dyDescent="0.25">
      <c r="A279" s="8"/>
      <c r="B279" s="36"/>
      <c r="C279" s="8"/>
      <c r="D279" s="8"/>
      <c r="E279" s="8"/>
      <c r="F279" s="24">
        <f t="shared" si="41"/>
        <v>365</v>
      </c>
      <c r="G279" s="25">
        <v>275</v>
      </c>
      <c r="H279" s="26">
        <f t="shared" si="42"/>
        <v>53313</v>
      </c>
      <c r="I279" s="26">
        <f t="shared" si="44"/>
        <v>53344</v>
      </c>
      <c r="J279" s="25">
        <f t="shared" si="40"/>
        <v>23</v>
      </c>
      <c r="K279" s="4"/>
      <c r="L279" s="5"/>
      <c r="M279" s="27">
        <f t="shared" si="45"/>
        <v>1539553.2000000023</v>
      </c>
      <c r="N279" s="27">
        <f t="shared" si="46"/>
        <v>24860.94</v>
      </c>
      <c r="O279" s="27">
        <f t="shared" si="47"/>
        <v>12046.8</v>
      </c>
      <c r="P279" s="27">
        <f t="shared" si="48"/>
        <v>12814.14</v>
      </c>
      <c r="Q279" s="28">
        <f t="shared" si="49"/>
        <v>1527506.4000000022</v>
      </c>
      <c r="R279" s="8"/>
      <c r="S279" s="29">
        <f t="shared" si="43"/>
        <v>0</v>
      </c>
      <c r="T279" s="29"/>
    </row>
    <row r="280" spans="1:20" x14ac:dyDescent="0.25">
      <c r="A280" s="8"/>
      <c r="B280" s="36"/>
      <c r="C280" s="8"/>
      <c r="D280" s="8"/>
      <c r="E280" s="8"/>
      <c r="F280" s="24">
        <f t="shared" si="41"/>
        <v>365</v>
      </c>
      <c r="G280" s="25">
        <v>276</v>
      </c>
      <c r="H280" s="26">
        <f t="shared" si="42"/>
        <v>53344</v>
      </c>
      <c r="I280" s="26">
        <f t="shared" si="44"/>
        <v>53375</v>
      </c>
      <c r="J280" s="25">
        <f t="shared" si="40"/>
        <v>23</v>
      </c>
      <c r="K280" s="4"/>
      <c r="L280" s="5"/>
      <c r="M280" s="27">
        <f t="shared" si="45"/>
        <v>1527506.4000000022</v>
      </c>
      <c r="N280" s="27">
        <f t="shared" si="46"/>
        <v>24860.94</v>
      </c>
      <c r="O280" s="27">
        <f t="shared" si="47"/>
        <v>12147.06</v>
      </c>
      <c r="P280" s="27">
        <f t="shared" si="48"/>
        <v>12713.88</v>
      </c>
      <c r="Q280" s="28">
        <f t="shared" si="49"/>
        <v>1515359.3400000022</v>
      </c>
      <c r="R280" s="8"/>
      <c r="S280" s="29">
        <f t="shared" si="43"/>
        <v>0</v>
      </c>
      <c r="T280" s="29"/>
    </row>
    <row r="281" spans="1:20" x14ac:dyDescent="0.25">
      <c r="A281" s="8"/>
      <c r="B281" s="36"/>
      <c r="C281" s="8"/>
      <c r="D281" s="8"/>
      <c r="E281" s="8"/>
      <c r="F281" s="24">
        <f t="shared" si="41"/>
        <v>365</v>
      </c>
      <c r="G281" s="25">
        <v>277</v>
      </c>
      <c r="H281" s="26">
        <f t="shared" si="42"/>
        <v>53375</v>
      </c>
      <c r="I281" s="26">
        <f t="shared" si="44"/>
        <v>53403</v>
      </c>
      <c r="J281" s="25">
        <f t="shared" si="40"/>
        <v>24</v>
      </c>
      <c r="K281" s="4"/>
      <c r="L281" s="5"/>
      <c r="M281" s="27">
        <f t="shared" si="45"/>
        <v>1515359.3400000022</v>
      </c>
      <c r="N281" s="27">
        <f t="shared" si="46"/>
        <v>24860.94</v>
      </c>
      <c r="O281" s="27">
        <f t="shared" si="47"/>
        <v>13468.759999999998</v>
      </c>
      <c r="P281" s="27">
        <f t="shared" si="48"/>
        <v>11392.18</v>
      </c>
      <c r="Q281" s="28">
        <f t="shared" si="49"/>
        <v>1501890.5800000022</v>
      </c>
      <c r="R281" s="8"/>
      <c r="S281" s="29">
        <f t="shared" si="43"/>
        <v>0</v>
      </c>
      <c r="T281" s="29"/>
    </row>
    <row r="282" spans="1:20" x14ac:dyDescent="0.25">
      <c r="A282" s="8"/>
      <c r="B282" s="36"/>
      <c r="C282" s="8"/>
      <c r="D282" s="8"/>
      <c r="E282" s="8"/>
      <c r="F282" s="24">
        <f t="shared" si="41"/>
        <v>365</v>
      </c>
      <c r="G282" s="25">
        <v>278</v>
      </c>
      <c r="H282" s="26">
        <f t="shared" si="42"/>
        <v>53403</v>
      </c>
      <c r="I282" s="26">
        <f t="shared" si="44"/>
        <v>53434</v>
      </c>
      <c r="J282" s="25">
        <f t="shared" si="40"/>
        <v>24</v>
      </c>
      <c r="K282" s="4"/>
      <c r="L282" s="5"/>
      <c r="M282" s="27">
        <f t="shared" si="45"/>
        <v>1501890.5800000022</v>
      </c>
      <c r="N282" s="27">
        <f t="shared" si="46"/>
        <v>24860.94</v>
      </c>
      <c r="O282" s="27">
        <f t="shared" si="47"/>
        <v>12360.269999999999</v>
      </c>
      <c r="P282" s="27">
        <f t="shared" si="48"/>
        <v>12500.67</v>
      </c>
      <c r="Q282" s="28">
        <f t="shared" si="49"/>
        <v>1489530.3100000022</v>
      </c>
      <c r="R282" s="8"/>
      <c r="S282" s="29">
        <f t="shared" si="43"/>
        <v>0</v>
      </c>
      <c r="T282" s="29"/>
    </row>
    <row r="283" spans="1:20" x14ac:dyDescent="0.25">
      <c r="A283" s="8"/>
      <c r="B283" s="36"/>
      <c r="C283" s="8"/>
      <c r="D283" s="8"/>
      <c r="E283" s="8"/>
      <c r="F283" s="24">
        <f t="shared" si="41"/>
        <v>365</v>
      </c>
      <c r="G283" s="25">
        <v>279</v>
      </c>
      <c r="H283" s="26">
        <f t="shared" si="42"/>
        <v>53434</v>
      </c>
      <c r="I283" s="26">
        <f t="shared" si="44"/>
        <v>53464</v>
      </c>
      <c r="J283" s="25">
        <f t="shared" si="40"/>
        <v>24</v>
      </c>
      <c r="K283" s="4"/>
      <c r="L283" s="5"/>
      <c r="M283" s="27">
        <f t="shared" si="45"/>
        <v>1489530.3100000022</v>
      </c>
      <c r="N283" s="27">
        <f t="shared" si="46"/>
        <v>24860.94</v>
      </c>
      <c r="O283" s="27">
        <f t="shared" si="47"/>
        <v>12863.079999999998</v>
      </c>
      <c r="P283" s="27">
        <f t="shared" si="48"/>
        <v>11997.86</v>
      </c>
      <c r="Q283" s="28">
        <f t="shared" si="49"/>
        <v>1476667.2300000021</v>
      </c>
      <c r="R283" s="8"/>
      <c r="S283" s="29">
        <f t="shared" si="43"/>
        <v>0</v>
      </c>
      <c r="T283" s="29"/>
    </row>
    <row r="284" spans="1:20" x14ac:dyDescent="0.25">
      <c r="A284" s="8"/>
      <c r="B284" s="36"/>
      <c r="C284" s="8"/>
      <c r="D284" s="8"/>
      <c r="E284" s="8"/>
      <c r="F284" s="24">
        <f t="shared" si="41"/>
        <v>365</v>
      </c>
      <c r="G284" s="25">
        <v>280</v>
      </c>
      <c r="H284" s="26">
        <f t="shared" si="42"/>
        <v>53464</v>
      </c>
      <c r="I284" s="26">
        <f t="shared" si="44"/>
        <v>53495</v>
      </c>
      <c r="J284" s="25">
        <f t="shared" si="40"/>
        <v>24</v>
      </c>
      <c r="K284" s="4"/>
      <c r="L284" s="5"/>
      <c r="M284" s="27">
        <f t="shared" si="45"/>
        <v>1476667.2300000021</v>
      </c>
      <c r="N284" s="27">
        <f t="shared" si="46"/>
        <v>24860.94</v>
      </c>
      <c r="O284" s="27">
        <f t="shared" si="47"/>
        <v>12570.21</v>
      </c>
      <c r="P284" s="27">
        <f t="shared" si="48"/>
        <v>12290.73</v>
      </c>
      <c r="Q284" s="28">
        <f t="shared" si="49"/>
        <v>1464097.0200000021</v>
      </c>
      <c r="R284" s="8"/>
      <c r="S284" s="29">
        <f t="shared" si="43"/>
        <v>0</v>
      </c>
      <c r="T284" s="29"/>
    </row>
    <row r="285" spans="1:20" x14ac:dyDescent="0.25">
      <c r="A285" s="8"/>
      <c r="B285" s="36"/>
      <c r="C285" s="8"/>
      <c r="D285" s="8"/>
      <c r="E285" s="8"/>
      <c r="F285" s="24">
        <f t="shared" si="41"/>
        <v>365</v>
      </c>
      <c r="G285" s="25">
        <v>281</v>
      </c>
      <c r="H285" s="26">
        <f t="shared" si="42"/>
        <v>53495</v>
      </c>
      <c r="I285" s="26">
        <f t="shared" si="44"/>
        <v>53525</v>
      </c>
      <c r="J285" s="25">
        <f t="shared" si="40"/>
        <v>24</v>
      </c>
      <c r="K285" s="4"/>
      <c r="L285" s="5"/>
      <c r="M285" s="27">
        <f t="shared" si="45"/>
        <v>1464097.0200000021</v>
      </c>
      <c r="N285" s="27">
        <f t="shared" si="46"/>
        <v>24860.94</v>
      </c>
      <c r="O285" s="27">
        <f t="shared" si="47"/>
        <v>13067.939999999999</v>
      </c>
      <c r="P285" s="27">
        <f t="shared" si="48"/>
        <v>11793</v>
      </c>
      <c r="Q285" s="28">
        <f t="shared" si="49"/>
        <v>1451029.0800000022</v>
      </c>
      <c r="R285" s="8"/>
      <c r="S285" s="29">
        <f t="shared" si="43"/>
        <v>0</v>
      </c>
      <c r="T285" s="29"/>
    </row>
    <row r="286" spans="1:20" x14ac:dyDescent="0.25">
      <c r="A286" s="8"/>
      <c r="B286" s="36"/>
      <c r="C286" s="8"/>
      <c r="D286" s="8"/>
      <c r="E286" s="8"/>
      <c r="F286" s="24">
        <f t="shared" si="41"/>
        <v>365</v>
      </c>
      <c r="G286" s="25">
        <v>282</v>
      </c>
      <c r="H286" s="26">
        <f t="shared" si="42"/>
        <v>53525</v>
      </c>
      <c r="I286" s="26">
        <f t="shared" si="44"/>
        <v>53556</v>
      </c>
      <c r="J286" s="25">
        <f t="shared" si="40"/>
        <v>24</v>
      </c>
      <c r="K286" s="4"/>
      <c r="L286" s="5"/>
      <c r="M286" s="27">
        <f t="shared" si="45"/>
        <v>1451029.0800000022</v>
      </c>
      <c r="N286" s="27">
        <f t="shared" si="46"/>
        <v>24860.94</v>
      </c>
      <c r="O286" s="27">
        <f t="shared" si="47"/>
        <v>12783.609999999999</v>
      </c>
      <c r="P286" s="27">
        <f t="shared" si="48"/>
        <v>12077.33</v>
      </c>
      <c r="Q286" s="28">
        <f t="shared" si="49"/>
        <v>1438245.4700000021</v>
      </c>
      <c r="R286" s="8"/>
      <c r="S286" s="29">
        <f t="shared" si="43"/>
        <v>0</v>
      </c>
      <c r="T286" s="29"/>
    </row>
    <row r="287" spans="1:20" x14ac:dyDescent="0.25">
      <c r="A287" s="8"/>
      <c r="B287" s="36"/>
      <c r="C287" s="8"/>
      <c r="D287" s="8"/>
      <c r="E287" s="8"/>
      <c r="F287" s="24">
        <f t="shared" si="41"/>
        <v>365</v>
      </c>
      <c r="G287" s="25">
        <v>283</v>
      </c>
      <c r="H287" s="26">
        <f t="shared" si="42"/>
        <v>53556</v>
      </c>
      <c r="I287" s="26">
        <f t="shared" si="44"/>
        <v>53587</v>
      </c>
      <c r="J287" s="25">
        <f t="shared" si="40"/>
        <v>24</v>
      </c>
      <c r="K287" s="4"/>
      <c r="L287" s="5"/>
      <c r="M287" s="27">
        <f t="shared" si="45"/>
        <v>1438245.4700000021</v>
      </c>
      <c r="N287" s="27">
        <f t="shared" si="46"/>
        <v>24860.94</v>
      </c>
      <c r="O287" s="27">
        <f t="shared" si="47"/>
        <v>12890.009999999998</v>
      </c>
      <c r="P287" s="27">
        <f t="shared" si="48"/>
        <v>11970.93</v>
      </c>
      <c r="Q287" s="28">
        <f t="shared" si="49"/>
        <v>1425355.4600000021</v>
      </c>
      <c r="R287" s="8"/>
      <c r="S287" s="29">
        <f t="shared" si="43"/>
        <v>0</v>
      </c>
      <c r="T287" s="29"/>
    </row>
    <row r="288" spans="1:20" x14ac:dyDescent="0.25">
      <c r="A288" s="8"/>
      <c r="B288" s="36"/>
      <c r="C288" s="8"/>
      <c r="D288" s="8"/>
      <c r="E288" s="8"/>
      <c r="F288" s="24">
        <f t="shared" si="41"/>
        <v>365</v>
      </c>
      <c r="G288" s="25">
        <v>284</v>
      </c>
      <c r="H288" s="26">
        <f t="shared" si="42"/>
        <v>53587</v>
      </c>
      <c r="I288" s="26">
        <f t="shared" si="44"/>
        <v>53617</v>
      </c>
      <c r="J288" s="25">
        <f t="shared" si="40"/>
        <v>24</v>
      </c>
      <c r="K288" s="4"/>
      <c r="L288" s="5"/>
      <c r="M288" s="27">
        <f t="shared" si="45"/>
        <v>1425355.4600000021</v>
      </c>
      <c r="N288" s="27">
        <f t="shared" si="46"/>
        <v>24860.94</v>
      </c>
      <c r="O288" s="27">
        <f t="shared" si="47"/>
        <v>13379.989999999998</v>
      </c>
      <c r="P288" s="27">
        <f t="shared" si="48"/>
        <v>11480.95</v>
      </c>
      <c r="Q288" s="28">
        <f t="shared" si="49"/>
        <v>1411975.4700000021</v>
      </c>
      <c r="R288" s="8"/>
      <c r="S288" s="29">
        <f t="shared" si="43"/>
        <v>0</v>
      </c>
      <c r="T288" s="29"/>
    </row>
    <row r="289" spans="1:20" x14ac:dyDescent="0.25">
      <c r="A289" s="8"/>
      <c r="B289" s="36"/>
      <c r="C289" s="8"/>
      <c r="D289" s="8"/>
      <c r="E289" s="8"/>
      <c r="F289" s="24">
        <f t="shared" si="41"/>
        <v>365</v>
      </c>
      <c r="G289" s="25">
        <v>285</v>
      </c>
      <c r="H289" s="26">
        <f t="shared" si="42"/>
        <v>53617</v>
      </c>
      <c r="I289" s="26">
        <f t="shared" si="44"/>
        <v>53648</v>
      </c>
      <c r="J289" s="25">
        <f t="shared" si="40"/>
        <v>24</v>
      </c>
      <c r="K289" s="4"/>
      <c r="L289" s="5"/>
      <c r="M289" s="27">
        <f t="shared" si="45"/>
        <v>1411975.4700000021</v>
      </c>
      <c r="N289" s="27">
        <f t="shared" si="46"/>
        <v>24860.94</v>
      </c>
      <c r="O289" s="27">
        <f t="shared" si="47"/>
        <v>13108.659999999998</v>
      </c>
      <c r="P289" s="27">
        <f t="shared" si="48"/>
        <v>11752.28</v>
      </c>
      <c r="Q289" s="28">
        <f t="shared" si="49"/>
        <v>1398866.8100000022</v>
      </c>
      <c r="R289" s="8"/>
      <c r="S289" s="29">
        <f t="shared" si="43"/>
        <v>0</v>
      </c>
      <c r="T289" s="29"/>
    </row>
    <row r="290" spans="1:20" x14ac:dyDescent="0.25">
      <c r="A290" s="8"/>
      <c r="B290" s="36"/>
      <c r="C290" s="8"/>
      <c r="D290" s="8"/>
      <c r="E290" s="8"/>
      <c r="F290" s="24">
        <f t="shared" si="41"/>
        <v>365</v>
      </c>
      <c r="G290" s="25">
        <v>286</v>
      </c>
      <c r="H290" s="26">
        <f t="shared" si="42"/>
        <v>53648</v>
      </c>
      <c r="I290" s="26">
        <f t="shared" si="44"/>
        <v>53678</v>
      </c>
      <c r="J290" s="25">
        <f t="shared" si="40"/>
        <v>24</v>
      </c>
      <c r="K290" s="4"/>
      <c r="L290" s="5"/>
      <c r="M290" s="27">
        <f t="shared" si="45"/>
        <v>1398866.8100000022</v>
      </c>
      <c r="N290" s="27">
        <f t="shared" si="46"/>
        <v>24860.94</v>
      </c>
      <c r="O290" s="27">
        <f t="shared" si="47"/>
        <v>13593.359999999999</v>
      </c>
      <c r="P290" s="27">
        <f t="shared" si="48"/>
        <v>11267.58</v>
      </c>
      <c r="Q290" s="28">
        <f t="shared" si="49"/>
        <v>1385273.450000002</v>
      </c>
      <c r="R290" s="8"/>
      <c r="S290" s="29">
        <f t="shared" si="43"/>
        <v>0</v>
      </c>
      <c r="T290" s="29"/>
    </row>
    <row r="291" spans="1:20" x14ac:dyDescent="0.25">
      <c r="A291" s="8"/>
      <c r="B291" s="36"/>
      <c r="C291" s="8"/>
      <c r="D291" s="8"/>
      <c r="E291" s="8"/>
      <c r="F291" s="24">
        <f t="shared" si="41"/>
        <v>365</v>
      </c>
      <c r="G291" s="25">
        <v>287</v>
      </c>
      <c r="H291" s="26">
        <f t="shared" si="42"/>
        <v>53678</v>
      </c>
      <c r="I291" s="26">
        <f t="shared" si="44"/>
        <v>53709</v>
      </c>
      <c r="J291" s="25">
        <f t="shared" si="40"/>
        <v>24</v>
      </c>
      <c r="K291" s="4"/>
      <c r="L291" s="5"/>
      <c r="M291" s="27">
        <f t="shared" si="45"/>
        <v>1385273.450000002</v>
      </c>
      <c r="N291" s="27">
        <f t="shared" si="46"/>
        <v>24860.94</v>
      </c>
      <c r="O291" s="27">
        <f t="shared" si="47"/>
        <v>13330.909999999998</v>
      </c>
      <c r="P291" s="27">
        <f t="shared" si="48"/>
        <v>11530.03</v>
      </c>
      <c r="Q291" s="28">
        <f t="shared" si="49"/>
        <v>1371942.5400000021</v>
      </c>
      <c r="R291" s="8"/>
      <c r="S291" s="29">
        <f t="shared" si="43"/>
        <v>0</v>
      </c>
      <c r="T291" s="29"/>
    </row>
    <row r="292" spans="1:20" x14ac:dyDescent="0.25">
      <c r="A292" s="8"/>
      <c r="B292" s="36"/>
      <c r="C292" s="8"/>
      <c r="D292" s="8"/>
      <c r="E292" s="8"/>
      <c r="F292" s="24">
        <f t="shared" si="41"/>
        <v>365</v>
      </c>
      <c r="G292" s="25">
        <v>288</v>
      </c>
      <c r="H292" s="26">
        <f t="shared" si="42"/>
        <v>53709</v>
      </c>
      <c r="I292" s="26">
        <f t="shared" si="44"/>
        <v>53740</v>
      </c>
      <c r="J292" s="25">
        <f t="shared" si="40"/>
        <v>24</v>
      </c>
      <c r="K292" s="4"/>
      <c r="L292" s="5"/>
      <c r="M292" s="27">
        <f t="shared" si="45"/>
        <v>1371942.5400000021</v>
      </c>
      <c r="N292" s="27">
        <f t="shared" si="46"/>
        <v>24860.94</v>
      </c>
      <c r="O292" s="27">
        <f t="shared" si="47"/>
        <v>13441.869999999999</v>
      </c>
      <c r="P292" s="27">
        <f t="shared" si="48"/>
        <v>11419.07</v>
      </c>
      <c r="Q292" s="28">
        <f t="shared" si="49"/>
        <v>1358500.670000002</v>
      </c>
      <c r="R292" s="8"/>
      <c r="S292" s="29">
        <f t="shared" si="43"/>
        <v>0</v>
      </c>
      <c r="T292" s="29"/>
    </row>
    <row r="293" spans="1:20" x14ac:dyDescent="0.25">
      <c r="A293" s="8"/>
      <c r="B293" s="36"/>
      <c r="C293" s="8"/>
      <c r="D293" s="8"/>
      <c r="E293" s="8"/>
      <c r="F293" s="24">
        <f t="shared" si="41"/>
        <v>365</v>
      </c>
      <c r="G293" s="25">
        <v>289</v>
      </c>
      <c r="H293" s="26">
        <f t="shared" si="42"/>
        <v>53740</v>
      </c>
      <c r="I293" s="26">
        <f t="shared" si="44"/>
        <v>53768</v>
      </c>
      <c r="J293" s="25">
        <f t="shared" si="40"/>
        <v>25</v>
      </c>
      <c r="K293" s="4"/>
      <c r="L293" s="5"/>
      <c r="M293" s="27">
        <f t="shared" si="45"/>
        <v>1358500.670000002</v>
      </c>
      <c r="N293" s="27">
        <f t="shared" si="46"/>
        <v>24860.94</v>
      </c>
      <c r="O293" s="27">
        <f t="shared" si="47"/>
        <v>14647.989999999998</v>
      </c>
      <c r="P293" s="27">
        <f t="shared" si="48"/>
        <v>10212.950000000001</v>
      </c>
      <c r="Q293" s="28">
        <f t="shared" si="49"/>
        <v>1343852.680000002</v>
      </c>
      <c r="R293" s="8"/>
      <c r="S293" s="29">
        <f t="shared" si="43"/>
        <v>0</v>
      </c>
      <c r="T293" s="29"/>
    </row>
    <row r="294" spans="1:20" x14ac:dyDescent="0.25">
      <c r="A294" s="8"/>
      <c r="B294" s="36"/>
      <c r="C294" s="8"/>
      <c r="D294" s="8"/>
      <c r="E294" s="8"/>
      <c r="F294" s="24">
        <f t="shared" si="41"/>
        <v>365</v>
      </c>
      <c r="G294" s="25">
        <v>290</v>
      </c>
      <c r="H294" s="26">
        <f t="shared" si="42"/>
        <v>53768</v>
      </c>
      <c r="I294" s="26">
        <f t="shared" si="44"/>
        <v>53799</v>
      </c>
      <c r="J294" s="25">
        <f t="shared" si="40"/>
        <v>25</v>
      </c>
      <c r="K294" s="4"/>
      <c r="L294" s="5"/>
      <c r="M294" s="27">
        <f t="shared" si="45"/>
        <v>1343852.680000002</v>
      </c>
      <c r="N294" s="27">
        <f t="shared" si="46"/>
        <v>24860.94</v>
      </c>
      <c r="O294" s="27">
        <f t="shared" si="47"/>
        <v>13675.669999999998</v>
      </c>
      <c r="P294" s="27">
        <f t="shared" si="48"/>
        <v>11185.27</v>
      </c>
      <c r="Q294" s="28">
        <f t="shared" si="49"/>
        <v>1330177.0100000021</v>
      </c>
      <c r="R294" s="8"/>
      <c r="S294" s="29">
        <f t="shared" si="43"/>
        <v>0</v>
      </c>
      <c r="T294" s="29"/>
    </row>
    <row r="295" spans="1:20" x14ac:dyDescent="0.25">
      <c r="A295" s="8"/>
      <c r="B295" s="36"/>
      <c r="C295" s="8"/>
      <c r="D295" s="8"/>
      <c r="E295" s="8"/>
      <c r="F295" s="24">
        <f t="shared" si="41"/>
        <v>365</v>
      </c>
      <c r="G295" s="25">
        <v>291</v>
      </c>
      <c r="H295" s="26">
        <f t="shared" si="42"/>
        <v>53799</v>
      </c>
      <c r="I295" s="26">
        <f t="shared" si="44"/>
        <v>53829</v>
      </c>
      <c r="J295" s="25">
        <f t="shared" si="40"/>
        <v>25</v>
      </c>
      <c r="K295" s="4"/>
      <c r="L295" s="5"/>
      <c r="M295" s="27">
        <f t="shared" si="45"/>
        <v>1330177.0100000021</v>
      </c>
      <c r="N295" s="27">
        <f t="shared" si="46"/>
        <v>24860.94</v>
      </c>
      <c r="O295" s="27">
        <f t="shared" si="47"/>
        <v>14146.64</v>
      </c>
      <c r="P295" s="27">
        <f t="shared" si="48"/>
        <v>10714.3</v>
      </c>
      <c r="Q295" s="28">
        <f t="shared" si="49"/>
        <v>1316030.3700000022</v>
      </c>
      <c r="R295" s="8"/>
      <c r="S295" s="29">
        <f t="shared" si="43"/>
        <v>0</v>
      </c>
      <c r="T295" s="29"/>
    </row>
    <row r="296" spans="1:20" x14ac:dyDescent="0.25">
      <c r="A296" s="8"/>
      <c r="B296" s="36"/>
      <c r="C296" s="8"/>
      <c r="D296" s="8"/>
      <c r="E296" s="8"/>
      <c r="F296" s="24">
        <f t="shared" si="41"/>
        <v>365</v>
      </c>
      <c r="G296" s="25">
        <v>292</v>
      </c>
      <c r="H296" s="26">
        <f t="shared" si="42"/>
        <v>53829</v>
      </c>
      <c r="I296" s="26">
        <f t="shared" si="44"/>
        <v>53860</v>
      </c>
      <c r="J296" s="25">
        <f t="shared" si="40"/>
        <v>25</v>
      </c>
      <c r="K296" s="4"/>
      <c r="L296" s="5"/>
      <c r="M296" s="27">
        <f t="shared" si="45"/>
        <v>1316030.3700000022</v>
      </c>
      <c r="N296" s="27">
        <f t="shared" si="46"/>
        <v>24860.94</v>
      </c>
      <c r="O296" s="27">
        <f t="shared" si="47"/>
        <v>13907.239999999998</v>
      </c>
      <c r="P296" s="27">
        <f t="shared" si="48"/>
        <v>10953.7</v>
      </c>
      <c r="Q296" s="28">
        <f t="shared" si="49"/>
        <v>1302123.1300000022</v>
      </c>
      <c r="R296" s="8"/>
      <c r="S296" s="29">
        <f t="shared" si="43"/>
        <v>0</v>
      </c>
      <c r="T296" s="29"/>
    </row>
    <row r="297" spans="1:20" x14ac:dyDescent="0.25">
      <c r="A297" s="8"/>
      <c r="B297" s="36"/>
      <c r="C297" s="8"/>
      <c r="D297" s="8"/>
      <c r="E297" s="8"/>
      <c r="F297" s="24">
        <f t="shared" si="41"/>
        <v>365</v>
      </c>
      <c r="G297" s="25">
        <v>293</v>
      </c>
      <c r="H297" s="26">
        <f t="shared" si="42"/>
        <v>53860</v>
      </c>
      <c r="I297" s="26">
        <f t="shared" si="44"/>
        <v>53890</v>
      </c>
      <c r="J297" s="25">
        <f t="shared" si="40"/>
        <v>25</v>
      </c>
      <c r="K297" s="4"/>
      <c r="L297" s="5"/>
      <c r="M297" s="27">
        <f t="shared" si="45"/>
        <v>1302123.1300000022</v>
      </c>
      <c r="N297" s="27">
        <f t="shared" si="46"/>
        <v>24860.94</v>
      </c>
      <c r="O297" s="27">
        <f t="shared" si="47"/>
        <v>14372.609999999999</v>
      </c>
      <c r="P297" s="27">
        <f t="shared" si="48"/>
        <v>10488.33</v>
      </c>
      <c r="Q297" s="28">
        <f t="shared" si="49"/>
        <v>1287750.5200000021</v>
      </c>
      <c r="R297" s="8"/>
      <c r="S297" s="29">
        <f t="shared" si="43"/>
        <v>0</v>
      </c>
      <c r="T297" s="29"/>
    </row>
    <row r="298" spans="1:20" x14ac:dyDescent="0.25">
      <c r="A298" s="8"/>
      <c r="B298" s="36"/>
      <c r="C298" s="8"/>
      <c r="D298" s="8"/>
      <c r="E298" s="8"/>
      <c r="F298" s="24">
        <f t="shared" si="41"/>
        <v>365</v>
      </c>
      <c r="G298" s="25">
        <v>294</v>
      </c>
      <c r="H298" s="26">
        <f t="shared" si="42"/>
        <v>53890</v>
      </c>
      <c r="I298" s="26">
        <f t="shared" si="44"/>
        <v>53921</v>
      </c>
      <c r="J298" s="25">
        <f t="shared" si="40"/>
        <v>25</v>
      </c>
      <c r="K298" s="4"/>
      <c r="L298" s="5"/>
      <c r="M298" s="27">
        <f t="shared" si="45"/>
        <v>1287750.5200000021</v>
      </c>
      <c r="N298" s="27">
        <f t="shared" si="46"/>
        <v>24860.94</v>
      </c>
      <c r="O298" s="27">
        <f t="shared" si="47"/>
        <v>14142.619999999999</v>
      </c>
      <c r="P298" s="27">
        <f t="shared" si="48"/>
        <v>10718.32</v>
      </c>
      <c r="Q298" s="28">
        <f t="shared" si="49"/>
        <v>1273607.900000002</v>
      </c>
      <c r="R298" s="8"/>
      <c r="S298" s="29">
        <f t="shared" si="43"/>
        <v>0</v>
      </c>
      <c r="T298" s="29"/>
    </row>
    <row r="299" spans="1:20" x14ac:dyDescent="0.25">
      <c r="A299" s="8"/>
      <c r="B299" s="36"/>
      <c r="C299" s="8"/>
      <c r="D299" s="8"/>
      <c r="E299" s="8"/>
      <c r="F299" s="24">
        <f t="shared" si="41"/>
        <v>365</v>
      </c>
      <c r="G299" s="25">
        <v>295</v>
      </c>
      <c r="H299" s="26">
        <f t="shared" si="42"/>
        <v>53921</v>
      </c>
      <c r="I299" s="26">
        <f t="shared" si="44"/>
        <v>53952</v>
      </c>
      <c r="J299" s="25">
        <f t="shared" si="40"/>
        <v>25</v>
      </c>
      <c r="K299" s="4"/>
      <c r="L299" s="5"/>
      <c r="M299" s="27">
        <f t="shared" si="45"/>
        <v>1273607.900000002</v>
      </c>
      <c r="N299" s="27">
        <f t="shared" si="46"/>
        <v>24860.94</v>
      </c>
      <c r="O299" s="27">
        <f t="shared" si="47"/>
        <v>14260.339999999998</v>
      </c>
      <c r="P299" s="27">
        <f t="shared" si="48"/>
        <v>10600.6</v>
      </c>
      <c r="Q299" s="28">
        <f t="shared" si="49"/>
        <v>1259347.5600000019</v>
      </c>
      <c r="R299" s="8"/>
      <c r="S299" s="29">
        <f t="shared" si="43"/>
        <v>0</v>
      </c>
      <c r="T299" s="29"/>
    </row>
    <row r="300" spans="1:20" x14ac:dyDescent="0.25">
      <c r="A300" s="8"/>
      <c r="B300" s="36"/>
      <c r="C300" s="8"/>
      <c r="D300" s="8"/>
      <c r="E300" s="8"/>
      <c r="F300" s="24">
        <f t="shared" si="41"/>
        <v>365</v>
      </c>
      <c r="G300" s="25">
        <v>296</v>
      </c>
      <c r="H300" s="26">
        <f t="shared" si="42"/>
        <v>53952</v>
      </c>
      <c r="I300" s="26">
        <f t="shared" si="44"/>
        <v>53982</v>
      </c>
      <c r="J300" s="25">
        <f t="shared" si="40"/>
        <v>25</v>
      </c>
      <c r="K300" s="4"/>
      <c r="L300" s="5"/>
      <c r="M300" s="27">
        <f t="shared" si="45"/>
        <v>1259347.5600000019</v>
      </c>
      <c r="N300" s="27">
        <f t="shared" si="46"/>
        <v>24860.94</v>
      </c>
      <c r="O300" s="27">
        <f t="shared" si="47"/>
        <v>14717.149999999998</v>
      </c>
      <c r="P300" s="27">
        <f t="shared" si="48"/>
        <v>10143.790000000001</v>
      </c>
      <c r="Q300" s="28">
        <f t="shared" si="49"/>
        <v>1244630.410000002</v>
      </c>
      <c r="R300" s="8"/>
      <c r="S300" s="29">
        <f t="shared" si="43"/>
        <v>0</v>
      </c>
      <c r="T300" s="29"/>
    </row>
    <row r="301" spans="1:20" x14ac:dyDescent="0.25">
      <c r="A301" s="8"/>
      <c r="B301" s="36"/>
      <c r="C301" s="8"/>
      <c r="D301" s="8"/>
      <c r="E301" s="8"/>
      <c r="F301" s="24">
        <f t="shared" si="41"/>
        <v>365</v>
      </c>
      <c r="G301" s="25">
        <v>297</v>
      </c>
      <c r="H301" s="26">
        <f t="shared" si="42"/>
        <v>53982</v>
      </c>
      <c r="I301" s="26">
        <f t="shared" si="44"/>
        <v>54013</v>
      </c>
      <c r="J301" s="25">
        <f t="shared" si="40"/>
        <v>25</v>
      </c>
      <c r="K301" s="4"/>
      <c r="L301" s="5"/>
      <c r="M301" s="27">
        <f t="shared" si="45"/>
        <v>1244630.410000002</v>
      </c>
      <c r="N301" s="27">
        <f t="shared" si="46"/>
        <v>24860.94</v>
      </c>
      <c r="O301" s="27">
        <f t="shared" si="47"/>
        <v>14501.519999999999</v>
      </c>
      <c r="P301" s="27">
        <f t="shared" si="48"/>
        <v>10359.42</v>
      </c>
      <c r="Q301" s="28">
        <f t="shared" si="49"/>
        <v>1230128.890000002</v>
      </c>
      <c r="R301" s="8"/>
      <c r="S301" s="29">
        <f t="shared" si="43"/>
        <v>0</v>
      </c>
      <c r="T301" s="29"/>
    </row>
    <row r="302" spans="1:20" x14ac:dyDescent="0.25">
      <c r="A302" s="8"/>
      <c r="B302" s="36"/>
      <c r="C302" s="8"/>
      <c r="D302" s="8"/>
      <c r="E302" s="8"/>
      <c r="F302" s="24">
        <f t="shared" si="41"/>
        <v>365</v>
      </c>
      <c r="G302" s="25">
        <v>298</v>
      </c>
      <c r="H302" s="26">
        <f t="shared" si="42"/>
        <v>54013</v>
      </c>
      <c r="I302" s="26">
        <f t="shared" si="44"/>
        <v>54043</v>
      </c>
      <c r="J302" s="25">
        <f t="shared" si="40"/>
        <v>25</v>
      </c>
      <c r="K302" s="4"/>
      <c r="L302" s="5"/>
      <c r="M302" s="27">
        <f t="shared" si="45"/>
        <v>1230128.890000002</v>
      </c>
      <c r="N302" s="27">
        <f t="shared" si="46"/>
        <v>24860.94</v>
      </c>
      <c r="O302" s="27">
        <f t="shared" si="47"/>
        <v>14952.499999999998</v>
      </c>
      <c r="P302" s="27">
        <f t="shared" si="48"/>
        <v>9908.44</v>
      </c>
      <c r="Q302" s="28">
        <f t="shared" si="49"/>
        <v>1215176.390000002</v>
      </c>
      <c r="R302" s="8"/>
      <c r="S302" s="29">
        <f t="shared" si="43"/>
        <v>0</v>
      </c>
      <c r="T302" s="29"/>
    </row>
    <row r="303" spans="1:20" x14ac:dyDescent="0.25">
      <c r="A303" s="8"/>
      <c r="B303" s="36"/>
      <c r="C303" s="8"/>
      <c r="D303" s="8"/>
      <c r="E303" s="8"/>
      <c r="F303" s="24">
        <f t="shared" si="41"/>
        <v>366</v>
      </c>
      <c r="G303" s="25">
        <v>299</v>
      </c>
      <c r="H303" s="26">
        <f t="shared" si="42"/>
        <v>54043</v>
      </c>
      <c r="I303" s="26">
        <f t="shared" si="44"/>
        <v>54074</v>
      </c>
      <c r="J303" s="25">
        <f t="shared" si="40"/>
        <v>25</v>
      </c>
      <c r="K303" s="4"/>
      <c r="L303" s="5"/>
      <c r="M303" s="27">
        <f t="shared" si="45"/>
        <v>1215176.390000002</v>
      </c>
      <c r="N303" s="27">
        <f t="shared" si="46"/>
        <v>24860.94</v>
      </c>
      <c r="O303" s="27">
        <f t="shared" si="47"/>
        <v>14774.31</v>
      </c>
      <c r="P303" s="27">
        <f t="shared" si="48"/>
        <v>10086.629999999999</v>
      </c>
      <c r="Q303" s="28">
        <f t="shared" si="49"/>
        <v>1200402.0800000019</v>
      </c>
      <c r="R303" s="8"/>
      <c r="S303" s="29">
        <f t="shared" si="43"/>
        <v>0</v>
      </c>
      <c r="T303" s="29"/>
    </row>
    <row r="304" spans="1:20" x14ac:dyDescent="0.25">
      <c r="A304" s="8"/>
      <c r="B304" s="36"/>
      <c r="C304" s="8"/>
      <c r="D304" s="8"/>
      <c r="E304" s="8"/>
      <c r="F304" s="24">
        <f t="shared" si="41"/>
        <v>366</v>
      </c>
      <c r="G304" s="25">
        <v>300</v>
      </c>
      <c r="H304" s="26">
        <f t="shared" si="42"/>
        <v>54074</v>
      </c>
      <c r="I304" s="26">
        <f t="shared" si="44"/>
        <v>54105</v>
      </c>
      <c r="J304" s="25">
        <f t="shared" si="40"/>
        <v>25</v>
      </c>
      <c r="K304" s="4"/>
      <c r="L304" s="5"/>
      <c r="M304" s="27">
        <f t="shared" si="45"/>
        <v>1200402.0800000019</v>
      </c>
      <c r="N304" s="27">
        <f t="shared" si="46"/>
        <v>24860.94</v>
      </c>
      <c r="O304" s="27">
        <f t="shared" si="47"/>
        <v>14896.949999999999</v>
      </c>
      <c r="P304" s="27">
        <f t="shared" si="48"/>
        <v>9963.99</v>
      </c>
      <c r="Q304" s="28">
        <f t="shared" si="49"/>
        <v>1185505.130000002</v>
      </c>
      <c r="R304" s="8"/>
      <c r="S304" s="29">
        <f t="shared" si="43"/>
        <v>0</v>
      </c>
      <c r="T304" s="29"/>
    </row>
    <row r="305" spans="1:20" x14ac:dyDescent="0.25">
      <c r="A305" s="8"/>
      <c r="B305" s="36"/>
      <c r="C305" s="8"/>
      <c r="D305" s="8"/>
      <c r="E305" s="8"/>
      <c r="F305" s="24">
        <f t="shared" si="41"/>
        <v>366</v>
      </c>
      <c r="G305" s="25">
        <v>301</v>
      </c>
      <c r="H305" s="26">
        <f t="shared" si="42"/>
        <v>54105</v>
      </c>
      <c r="I305" s="26">
        <f t="shared" si="44"/>
        <v>54134</v>
      </c>
      <c r="J305" s="25">
        <f t="shared" si="40"/>
        <v>26</v>
      </c>
      <c r="K305" s="4"/>
      <c r="L305" s="5"/>
      <c r="M305" s="27">
        <f t="shared" si="45"/>
        <v>1185505.130000002</v>
      </c>
      <c r="N305" s="27">
        <f t="shared" si="46"/>
        <v>24860.94</v>
      </c>
      <c r="O305" s="27">
        <f t="shared" si="47"/>
        <v>15655.46</v>
      </c>
      <c r="P305" s="27">
        <f t="shared" si="48"/>
        <v>9205.48</v>
      </c>
      <c r="Q305" s="28">
        <f t="shared" si="49"/>
        <v>1169849.670000002</v>
      </c>
      <c r="R305" s="8"/>
      <c r="S305" s="29">
        <f t="shared" si="43"/>
        <v>0</v>
      </c>
      <c r="T305" s="29"/>
    </row>
    <row r="306" spans="1:20" x14ac:dyDescent="0.25">
      <c r="A306" s="8"/>
      <c r="B306" s="36"/>
      <c r="C306" s="8"/>
      <c r="D306" s="8"/>
      <c r="E306" s="8"/>
      <c r="F306" s="24">
        <f t="shared" si="41"/>
        <v>366</v>
      </c>
      <c r="G306" s="25">
        <v>302</v>
      </c>
      <c r="H306" s="26">
        <f t="shared" si="42"/>
        <v>54134</v>
      </c>
      <c r="I306" s="26">
        <f t="shared" si="44"/>
        <v>54165</v>
      </c>
      <c r="J306" s="25">
        <f t="shared" si="40"/>
        <v>26</v>
      </c>
      <c r="K306" s="4"/>
      <c r="L306" s="5"/>
      <c r="M306" s="27">
        <f t="shared" si="45"/>
        <v>1169849.670000002</v>
      </c>
      <c r="N306" s="27">
        <f t="shared" si="46"/>
        <v>24860.94</v>
      </c>
      <c r="O306" s="27">
        <f t="shared" si="47"/>
        <v>15150.55</v>
      </c>
      <c r="P306" s="27">
        <f t="shared" si="48"/>
        <v>9710.39</v>
      </c>
      <c r="Q306" s="28">
        <f t="shared" si="49"/>
        <v>1154699.120000002</v>
      </c>
      <c r="R306" s="8"/>
      <c r="S306" s="29">
        <f t="shared" si="43"/>
        <v>0</v>
      </c>
      <c r="T306" s="29"/>
    </row>
    <row r="307" spans="1:20" x14ac:dyDescent="0.25">
      <c r="A307" s="8"/>
      <c r="B307" s="36"/>
      <c r="C307" s="8"/>
      <c r="D307" s="8"/>
      <c r="E307" s="8"/>
      <c r="F307" s="24">
        <f t="shared" si="41"/>
        <v>366</v>
      </c>
      <c r="G307" s="25">
        <v>303</v>
      </c>
      <c r="H307" s="26">
        <f t="shared" si="42"/>
        <v>54165</v>
      </c>
      <c r="I307" s="26">
        <f t="shared" si="44"/>
        <v>54195</v>
      </c>
      <c r="J307" s="25">
        <f t="shared" si="40"/>
        <v>26</v>
      </c>
      <c r="K307" s="4"/>
      <c r="L307" s="5"/>
      <c r="M307" s="27">
        <f t="shared" si="45"/>
        <v>1154699.120000002</v>
      </c>
      <c r="N307" s="27">
        <f t="shared" si="46"/>
        <v>24860.94</v>
      </c>
      <c r="O307" s="27">
        <f t="shared" si="47"/>
        <v>15585.489999999998</v>
      </c>
      <c r="P307" s="27">
        <f t="shared" si="48"/>
        <v>9275.4500000000007</v>
      </c>
      <c r="Q307" s="28">
        <f t="shared" si="49"/>
        <v>1139113.630000002</v>
      </c>
      <c r="R307" s="8"/>
      <c r="S307" s="29">
        <f t="shared" si="43"/>
        <v>0</v>
      </c>
      <c r="T307" s="29"/>
    </row>
    <row r="308" spans="1:20" x14ac:dyDescent="0.25">
      <c r="A308" s="8"/>
      <c r="B308" s="36"/>
      <c r="C308" s="8"/>
      <c r="D308" s="8"/>
      <c r="E308" s="8"/>
      <c r="F308" s="24">
        <f t="shared" si="41"/>
        <v>366</v>
      </c>
      <c r="G308" s="25">
        <v>304</v>
      </c>
      <c r="H308" s="26">
        <f t="shared" si="42"/>
        <v>54195</v>
      </c>
      <c r="I308" s="26">
        <f t="shared" si="44"/>
        <v>54226</v>
      </c>
      <c r="J308" s="25">
        <f t="shared" si="40"/>
        <v>26</v>
      </c>
      <c r="K308" s="4"/>
      <c r="L308" s="5"/>
      <c r="M308" s="27">
        <f t="shared" si="45"/>
        <v>1139113.630000002</v>
      </c>
      <c r="N308" s="27">
        <f t="shared" si="46"/>
        <v>24860.94</v>
      </c>
      <c r="O308" s="27">
        <f t="shared" si="47"/>
        <v>15405.669999999998</v>
      </c>
      <c r="P308" s="27">
        <f t="shared" si="48"/>
        <v>9455.27</v>
      </c>
      <c r="Q308" s="28">
        <f t="shared" si="49"/>
        <v>1123707.9600000021</v>
      </c>
      <c r="R308" s="8"/>
      <c r="S308" s="29">
        <f t="shared" si="43"/>
        <v>0</v>
      </c>
      <c r="T308" s="29"/>
    </row>
    <row r="309" spans="1:20" x14ac:dyDescent="0.25">
      <c r="A309" s="8"/>
      <c r="B309" s="36"/>
      <c r="C309" s="8"/>
      <c r="D309" s="8"/>
      <c r="E309" s="8"/>
      <c r="F309" s="24">
        <f t="shared" si="41"/>
        <v>366</v>
      </c>
      <c r="G309" s="25">
        <v>305</v>
      </c>
      <c r="H309" s="26">
        <f t="shared" si="42"/>
        <v>54226</v>
      </c>
      <c r="I309" s="26">
        <f t="shared" si="44"/>
        <v>54256</v>
      </c>
      <c r="J309" s="25">
        <f t="shared" si="40"/>
        <v>26</v>
      </c>
      <c r="K309" s="4"/>
      <c r="L309" s="5"/>
      <c r="M309" s="27">
        <f t="shared" si="45"/>
        <v>1123707.9600000021</v>
      </c>
      <c r="N309" s="27">
        <f t="shared" si="46"/>
        <v>24860.94</v>
      </c>
      <c r="O309" s="27">
        <f t="shared" si="47"/>
        <v>15834.429999999998</v>
      </c>
      <c r="P309" s="27">
        <f t="shared" si="48"/>
        <v>9026.51</v>
      </c>
      <c r="Q309" s="28">
        <f t="shared" si="49"/>
        <v>1107873.5300000021</v>
      </c>
      <c r="R309" s="8"/>
      <c r="S309" s="29">
        <f t="shared" si="43"/>
        <v>0</v>
      </c>
      <c r="T309" s="29"/>
    </row>
    <row r="310" spans="1:20" x14ac:dyDescent="0.25">
      <c r="A310" s="8"/>
      <c r="B310" s="36"/>
      <c r="C310" s="8"/>
      <c r="D310" s="8"/>
      <c r="E310" s="8"/>
      <c r="F310" s="24">
        <f t="shared" si="41"/>
        <v>366</v>
      </c>
      <c r="G310" s="25">
        <v>306</v>
      </c>
      <c r="H310" s="26">
        <f t="shared" si="42"/>
        <v>54256</v>
      </c>
      <c r="I310" s="26">
        <f t="shared" si="44"/>
        <v>54287</v>
      </c>
      <c r="J310" s="25">
        <f t="shared" si="40"/>
        <v>26</v>
      </c>
      <c r="K310" s="4"/>
      <c r="L310" s="5"/>
      <c r="M310" s="27">
        <f t="shared" si="45"/>
        <v>1107873.5300000021</v>
      </c>
      <c r="N310" s="27">
        <f t="shared" si="46"/>
        <v>24860.94</v>
      </c>
      <c r="O310" s="27">
        <f t="shared" si="47"/>
        <v>15664.98</v>
      </c>
      <c r="P310" s="27">
        <f t="shared" si="48"/>
        <v>9195.9599999999991</v>
      </c>
      <c r="Q310" s="28">
        <f t="shared" si="49"/>
        <v>1092208.5500000021</v>
      </c>
      <c r="R310" s="8"/>
      <c r="S310" s="29">
        <f t="shared" si="43"/>
        <v>0</v>
      </c>
      <c r="T310" s="29"/>
    </row>
    <row r="311" spans="1:20" x14ac:dyDescent="0.25">
      <c r="A311" s="8"/>
      <c r="B311" s="36"/>
      <c r="C311" s="8"/>
      <c r="D311" s="8"/>
      <c r="E311" s="8"/>
      <c r="F311" s="24">
        <f t="shared" si="41"/>
        <v>366</v>
      </c>
      <c r="G311" s="25">
        <v>307</v>
      </c>
      <c r="H311" s="26">
        <f t="shared" si="42"/>
        <v>54287</v>
      </c>
      <c r="I311" s="26">
        <f t="shared" si="44"/>
        <v>54318</v>
      </c>
      <c r="J311" s="25">
        <f t="shared" si="40"/>
        <v>26</v>
      </c>
      <c r="K311" s="4"/>
      <c r="L311" s="5"/>
      <c r="M311" s="27">
        <f t="shared" si="45"/>
        <v>1092208.5500000021</v>
      </c>
      <c r="N311" s="27">
        <f t="shared" si="46"/>
        <v>24860.94</v>
      </c>
      <c r="O311" s="27">
        <f t="shared" si="47"/>
        <v>15795.009999999998</v>
      </c>
      <c r="P311" s="27">
        <f t="shared" si="48"/>
        <v>9065.93</v>
      </c>
      <c r="Q311" s="28">
        <f t="shared" si="49"/>
        <v>1076413.5400000021</v>
      </c>
      <c r="R311" s="8"/>
      <c r="S311" s="29">
        <f t="shared" si="43"/>
        <v>0</v>
      </c>
      <c r="T311" s="29"/>
    </row>
    <row r="312" spans="1:20" x14ac:dyDescent="0.25">
      <c r="A312" s="8"/>
      <c r="B312" s="36"/>
      <c r="C312" s="8"/>
      <c r="D312" s="8"/>
      <c r="E312" s="8"/>
      <c r="F312" s="24">
        <f t="shared" si="41"/>
        <v>366</v>
      </c>
      <c r="G312" s="25">
        <v>308</v>
      </c>
      <c r="H312" s="26">
        <f t="shared" si="42"/>
        <v>54318</v>
      </c>
      <c r="I312" s="26">
        <f t="shared" si="44"/>
        <v>54348</v>
      </c>
      <c r="J312" s="25">
        <f t="shared" si="40"/>
        <v>26</v>
      </c>
      <c r="K312" s="4"/>
      <c r="L312" s="5"/>
      <c r="M312" s="27">
        <f t="shared" si="45"/>
        <v>1076413.5400000021</v>
      </c>
      <c r="N312" s="27">
        <f t="shared" si="46"/>
        <v>24860.94</v>
      </c>
      <c r="O312" s="27">
        <f t="shared" si="47"/>
        <v>16214.339999999998</v>
      </c>
      <c r="P312" s="27">
        <f t="shared" si="48"/>
        <v>8646.6</v>
      </c>
      <c r="Q312" s="28">
        <f t="shared" si="49"/>
        <v>1060199.200000002</v>
      </c>
      <c r="R312" s="8"/>
      <c r="S312" s="29">
        <f t="shared" si="43"/>
        <v>0</v>
      </c>
      <c r="T312" s="29"/>
    </row>
    <row r="313" spans="1:20" x14ac:dyDescent="0.25">
      <c r="A313" s="8"/>
      <c r="B313" s="36"/>
      <c r="C313" s="8"/>
      <c r="D313" s="8"/>
      <c r="E313" s="8"/>
      <c r="F313" s="24">
        <f t="shared" si="41"/>
        <v>366</v>
      </c>
      <c r="G313" s="25">
        <v>309</v>
      </c>
      <c r="H313" s="26">
        <f t="shared" si="42"/>
        <v>54348</v>
      </c>
      <c r="I313" s="26">
        <f t="shared" si="44"/>
        <v>54379</v>
      </c>
      <c r="J313" s="25">
        <f t="shared" si="40"/>
        <v>26</v>
      </c>
      <c r="K313" s="4"/>
      <c r="L313" s="5"/>
      <c r="M313" s="27">
        <f t="shared" si="45"/>
        <v>1060199.200000002</v>
      </c>
      <c r="N313" s="27">
        <f t="shared" si="46"/>
        <v>24860.94</v>
      </c>
      <c r="O313" s="27">
        <f t="shared" si="47"/>
        <v>16060.71</v>
      </c>
      <c r="P313" s="27">
        <f t="shared" si="48"/>
        <v>8800.23</v>
      </c>
      <c r="Q313" s="28">
        <f t="shared" si="49"/>
        <v>1044138.4900000021</v>
      </c>
      <c r="R313" s="8"/>
      <c r="S313" s="29">
        <f t="shared" si="43"/>
        <v>0</v>
      </c>
      <c r="T313" s="29"/>
    </row>
    <row r="314" spans="1:20" x14ac:dyDescent="0.25">
      <c r="A314" s="8"/>
      <c r="B314" s="36"/>
      <c r="C314" s="8"/>
      <c r="D314" s="8"/>
      <c r="E314" s="8"/>
      <c r="F314" s="24">
        <f t="shared" si="41"/>
        <v>366</v>
      </c>
      <c r="G314" s="25">
        <v>310</v>
      </c>
      <c r="H314" s="26">
        <f t="shared" si="42"/>
        <v>54379</v>
      </c>
      <c r="I314" s="26">
        <f t="shared" si="44"/>
        <v>54409</v>
      </c>
      <c r="J314" s="25">
        <f t="shared" si="40"/>
        <v>26</v>
      </c>
      <c r="K314" s="4"/>
      <c r="L314" s="5"/>
      <c r="M314" s="27">
        <f t="shared" si="45"/>
        <v>1044138.4900000021</v>
      </c>
      <c r="N314" s="27">
        <f t="shared" si="46"/>
        <v>24860.94</v>
      </c>
      <c r="O314" s="27">
        <f t="shared" si="47"/>
        <v>16473.599999999999</v>
      </c>
      <c r="P314" s="27">
        <f t="shared" si="48"/>
        <v>8387.34</v>
      </c>
      <c r="Q314" s="28">
        <f t="shared" si="49"/>
        <v>1027664.8900000021</v>
      </c>
      <c r="R314" s="8"/>
      <c r="S314" s="29">
        <f t="shared" si="43"/>
        <v>0</v>
      </c>
      <c r="T314" s="29"/>
    </row>
    <row r="315" spans="1:20" x14ac:dyDescent="0.25">
      <c r="A315" s="8"/>
      <c r="B315" s="36"/>
      <c r="C315" s="8"/>
      <c r="D315" s="8"/>
      <c r="E315" s="8"/>
      <c r="F315" s="24">
        <f t="shared" si="41"/>
        <v>365</v>
      </c>
      <c r="G315" s="25">
        <v>311</v>
      </c>
      <c r="H315" s="26">
        <f t="shared" si="42"/>
        <v>54409</v>
      </c>
      <c r="I315" s="26">
        <f t="shared" si="44"/>
        <v>54440</v>
      </c>
      <c r="J315" s="25">
        <f t="shared" si="40"/>
        <v>26</v>
      </c>
      <c r="K315" s="4"/>
      <c r="L315" s="5"/>
      <c r="M315" s="27">
        <f t="shared" si="45"/>
        <v>1027664.8900000021</v>
      </c>
      <c r="N315" s="27">
        <f t="shared" si="46"/>
        <v>24860.94</v>
      </c>
      <c r="O315" s="27">
        <f t="shared" si="47"/>
        <v>16307.39</v>
      </c>
      <c r="P315" s="27">
        <f t="shared" si="48"/>
        <v>8553.5499999999993</v>
      </c>
      <c r="Q315" s="28">
        <f t="shared" si="49"/>
        <v>1011357.5000000021</v>
      </c>
      <c r="R315" s="8"/>
      <c r="S315" s="29">
        <f t="shared" si="43"/>
        <v>0</v>
      </c>
      <c r="T315" s="29"/>
    </row>
    <row r="316" spans="1:20" x14ac:dyDescent="0.25">
      <c r="A316" s="8"/>
      <c r="B316" s="36"/>
      <c r="C316" s="8"/>
      <c r="D316" s="8"/>
      <c r="E316" s="8"/>
      <c r="F316" s="24">
        <f t="shared" si="41"/>
        <v>365</v>
      </c>
      <c r="G316" s="25">
        <v>312</v>
      </c>
      <c r="H316" s="26">
        <f t="shared" si="42"/>
        <v>54440</v>
      </c>
      <c r="I316" s="26">
        <f t="shared" si="44"/>
        <v>54471</v>
      </c>
      <c r="J316" s="25">
        <f t="shared" si="40"/>
        <v>26</v>
      </c>
      <c r="K316" s="4"/>
      <c r="L316" s="5"/>
      <c r="M316" s="27">
        <f t="shared" si="45"/>
        <v>1011357.5000000021</v>
      </c>
      <c r="N316" s="27">
        <f t="shared" si="46"/>
        <v>24860.94</v>
      </c>
      <c r="O316" s="27">
        <f t="shared" si="47"/>
        <v>16443.12</v>
      </c>
      <c r="P316" s="27">
        <f t="shared" si="48"/>
        <v>8417.82</v>
      </c>
      <c r="Q316" s="28">
        <f t="shared" si="49"/>
        <v>994914.3800000021</v>
      </c>
      <c r="R316" s="8"/>
      <c r="S316" s="29">
        <f t="shared" si="43"/>
        <v>0</v>
      </c>
      <c r="T316" s="29"/>
    </row>
    <row r="317" spans="1:20" x14ac:dyDescent="0.25">
      <c r="A317" s="8"/>
      <c r="B317" s="36"/>
      <c r="C317" s="8"/>
      <c r="D317" s="8"/>
      <c r="E317" s="8"/>
      <c r="F317" s="24">
        <f t="shared" si="41"/>
        <v>365</v>
      </c>
      <c r="G317" s="25">
        <v>313</v>
      </c>
      <c r="H317" s="26">
        <f t="shared" si="42"/>
        <v>54471</v>
      </c>
      <c r="I317" s="26">
        <f t="shared" si="44"/>
        <v>54499</v>
      </c>
      <c r="J317" s="25">
        <f t="shared" si="40"/>
        <v>27</v>
      </c>
      <c r="K317" s="4"/>
      <c r="L317" s="5"/>
      <c r="M317" s="27">
        <f t="shared" si="45"/>
        <v>994914.3800000021</v>
      </c>
      <c r="N317" s="27">
        <f t="shared" si="46"/>
        <v>24860.94</v>
      </c>
      <c r="O317" s="27">
        <f t="shared" si="47"/>
        <v>17381.36</v>
      </c>
      <c r="P317" s="27">
        <f t="shared" si="48"/>
        <v>7479.58</v>
      </c>
      <c r="Q317" s="28">
        <f t="shared" si="49"/>
        <v>977533.02000000211</v>
      </c>
      <c r="R317" s="8"/>
      <c r="S317" s="29">
        <f t="shared" si="43"/>
        <v>0</v>
      </c>
      <c r="T317" s="29"/>
    </row>
    <row r="318" spans="1:20" x14ac:dyDescent="0.25">
      <c r="A318" s="8"/>
      <c r="B318" s="36"/>
      <c r="C318" s="8"/>
      <c r="D318" s="8"/>
      <c r="E318" s="8"/>
      <c r="F318" s="24">
        <f t="shared" si="41"/>
        <v>365</v>
      </c>
      <c r="G318" s="25">
        <v>314</v>
      </c>
      <c r="H318" s="26">
        <f t="shared" si="42"/>
        <v>54499</v>
      </c>
      <c r="I318" s="26">
        <f t="shared" si="44"/>
        <v>54530</v>
      </c>
      <c r="J318" s="25">
        <f t="shared" si="40"/>
        <v>27</v>
      </c>
      <c r="K318" s="4"/>
      <c r="L318" s="5"/>
      <c r="M318" s="27">
        <f t="shared" si="45"/>
        <v>977533.02000000211</v>
      </c>
      <c r="N318" s="27">
        <f t="shared" si="46"/>
        <v>24860.94</v>
      </c>
      <c r="O318" s="27">
        <f t="shared" si="47"/>
        <v>16724.649999999998</v>
      </c>
      <c r="P318" s="27">
        <f t="shared" si="48"/>
        <v>8136.29</v>
      </c>
      <c r="Q318" s="28">
        <f t="shared" si="49"/>
        <v>960808.37000000209</v>
      </c>
      <c r="R318" s="8"/>
      <c r="S318" s="29">
        <f t="shared" si="43"/>
        <v>0</v>
      </c>
      <c r="T318" s="29"/>
    </row>
    <row r="319" spans="1:20" x14ac:dyDescent="0.25">
      <c r="A319" s="8"/>
      <c r="B319" s="36"/>
      <c r="C319" s="8"/>
      <c r="D319" s="8"/>
      <c r="E319" s="8"/>
      <c r="F319" s="24">
        <f t="shared" si="41"/>
        <v>365</v>
      </c>
      <c r="G319" s="25">
        <v>315</v>
      </c>
      <c r="H319" s="26">
        <f t="shared" si="42"/>
        <v>54530</v>
      </c>
      <c r="I319" s="26">
        <f t="shared" si="44"/>
        <v>54560</v>
      </c>
      <c r="J319" s="25">
        <f t="shared" si="40"/>
        <v>27</v>
      </c>
      <c r="K319" s="4"/>
      <c r="L319" s="5"/>
      <c r="M319" s="27">
        <f t="shared" si="45"/>
        <v>960808.37000000209</v>
      </c>
      <c r="N319" s="27">
        <f t="shared" si="46"/>
        <v>24860.94</v>
      </c>
      <c r="O319" s="27">
        <f t="shared" si="47"/>
        <v>17121.829999999998</v>
      </c>
      <c r="P319" s="27">
        <f t="shared" si="48"/>
        <v>7739.11</v>
      </c>
      <c r="Q319" s="28">
        <f t="shared" si="49"/>
        <v>943686.54000000213</v>
      </c>
      <c r="R319" s="8"/>
      <c r="S319" s="29">
        <f t="shared" si="43"/>
        <v>0</v>
      </c>
      <c r="T319" s="29"/>
    </row>
    <row r="320" spans="1:20" x14ac:dyDescent="0.25">
      <c r="A320" s="8"/>
      <c r="B320" s="36"/>
      <c r="C320" s="8"/>
      <c r="D320" s="8"/>
      <c r="E320" s="8"/>
      <c r="F320" s="24">
        <f t="shared" si="41"/>
        <v>365</v>
      </c>
      <c r="G320" s="25">
        <v>316</v>
      </c>
      <c r="H320" s="26">
        <f t="shared" si="42"/>
        <v>54560</v>
      </c>
      <c r="I320" s="26">
        <f t="shared" si="44"/>
        <v>54591</v>
      </c>
      <c r="J320" s="25">
        <f t="shared" si="40"/>
        <v>27</v>
      </c>
      <c r="K320" s="4"/>
      <c r="L320" s="5"/>
      <c r="M320" s="27">
        <f t="shared" si="45"/>
        <v>943686.54000000213</v>
      </c>
      <c r="N320" s="27">
        <f t="shared" si="46"/>
        <v>24860.94</v>
      </c>
      <c r="O320" s="27">
        <f t="shared" si="47"/>
        <v>17006.37</v>
      </c>
      <c r="P320" s="27">
        <f t="shared" si="48"/>
        <v>7854.57</v>
      </c>
      <c r="Q320" s="28">
        <f t="shared" si="49"/>
        <v>926680.17000000214</v>
      </c>
      <c r="R320" s="8"/>
      <c r="S320" s="29">
        <f t="shared" si="43"/>
        <v>0</v>
      </c>
      <c r="T320" s="29"/>
    </row>
    <row r="321" spans="1:20" x14ac:dyDescent="0.25">
      <c r="A321" s="8"/>
      <c r="B321" s="36"/>
      <c r="C321" s="8"/>
      <c r="D321" s="8"/>
      <c r="E321" s="8"/>
      <c r="F321" s="24">
        <f t="shared" si="41"/>
        <v>365</v>
      </c>
      <c r="G321" s="25">
        <v>317</v>
      </c>
      <c r="H321" s="26">
        <f t="shared" si="42"/>
        <v>54591</v>
      </c>
      <c r="I321" s="26">
        <f t="shared" si="44"/>
        <v>54621</v>
      </c>
      <c r="J321" s="25">
        <f t="shared" si="40"/>
        <v>27</v>
      </c>
      <c r="K321" s="4"/>
      <c r="L321" s="5"/>
      <c r="M321" s="27">
        <f t="shared" si="45"/>
        <v>926680.17000000214</v>
      </c>
      <c r="N321" s="27">
        <f t="shared" si="46"/>
        <v>24860.94</v>
      </c>
      <c r="O321" s="27">
        <f t="shared" si="47"/>
        <v>17396.719999999998</v>
      </c>
      <c r="P321" s="27">
        <f t="shared" si="48"/>
        <v>7464.22</v>
      </c>
      <c r="Q321" s="28">
        <f t="shared" si="49"/>
        <v>909283.45000000217</v>
      </c>
      <c r="R321" s="8"/>
      <c r="S321" s="29">
        <f t="shared" si="43"/>
        <v>0</v>
      </c>
      <c r="T321" s="29"/>
    </row>
    <row r="322" spans="1:20" x14ac:dyDescent="0.25">
      <c r="A322" s="8"/>
      <c r="B322" s="36"/>
      <c r="C322" s="8"/>
      <c r="D322" s="8"/>
      <c r="E322" s="8"/>
      <c r="F322" s="24">
        <f t="shared" si="41"/>
        <v>365</v>
      </c>
      <c r="G322" s="25">
        <v>318</v>
      </c>
      <c r="H322" s="26">
        <f t="shared" si="42"/>
        <v>54621</v>
      </c>
      <c r="I322" s="26">
        <f t="shared" si="44"/>
        <v>54652</v>
      </c>
      <c r="J322" s="25">
        <f t="shared" si="40"/>
        <v>27</v>
      </c>
      <c r="K322" s="4"/>
      <c r="L322" s="5"/>
      <c r="M322" s="27">
        <f t="shared" si="45"/>
        <v>909283.45000000217</v>
      </c>
      <c r="N322" s="27">
        <f t="shared" si="46"/>
        <v>24860.94</v>
      </c>
      <c r="O322" s="27">
        <f t="shared" si="47"/>
        <v>17292.71</v>
      </c>
      <c r="P322" s="27">
        <f t="shared" si="48"/>
        <v>7568.23</v>
      </c>
      <c r="Q322" s="28">
        <f t="shared" si="49"/>
        <v>891990.7400000022</v>
      </c>
      <c r="R322" s="8"/>
      <c r="S322" s="29">
        <f t="shared" si="43"/>
        <v>0</v>
      </c>
      <c r="T322" s="29"/>
    </row>
    <row r="323" spans="1:20" x14ac:dyDescent="0.25">
      <c r="A323" s="8"/>
      <c r="B323" s="36"/>
      <c r="C323" s="8"/>
      <c r="D323" s="8"/>
      <c r="E323" s="8"/>
      <c r="F323" s="24">
        <f t="shared" si="41"/>
        <v>365</v>
      </c>
      <c r="G323" s="25">
        <v>319</v>
      </c>
      <c r="H323" s="26">
        <f t="shared" si="42"/>
        <v>54652</v>
      </c>
      <c r="I323" s="26">
        <f t="shared" si="44"/>
        <v>54683</v>
      </c>
      <c r="J323" s="25">
        <f t="shared" si="40"/>
        <v>27</v>
      </c>
      <c r="K323" s="4"/>
      <c r="L323" s="5"/>
      <c r="M323" s="27">
        <f t="shared" si="45"/>
        <v>891990.7400000022</v>
      </c>
      <c r="N323" s="27">
        <f t="shared" si="46"/>
        <v>24860.94</v>
      </c>
      <c r="O323" s="27">
        <f t="shared" si="47"/>
        <v>17436.64</v>
      </c>
      <c r="P323" s="27">
        <f t="shared" si="48"/>
        <v>7424.3</v>
      </c>
      <c r="Q323" s="28">
        <f t="shared" si="49"/>
        <v>874554.10000000219</v>
      </c>
      <c r="R323" s="8"/>
      <c r="S323" s="29">
        <f t="shared" si="43"/>
        <v>0</v>
      </c>
      <c r="T323" s="29"/>
    </row>
    <row r="324" spans="1:20" x14ac:dyDescent="0.25">
      <c r="A324" s="8"/>
      <c r="B324" s="36"/>
      <c r="C324" s="8"/>
      <c r="D324" s="8"/>
      <c r="E324" s="8"/>
      <c r="F324" s="24">
        <f t="shared" si="41"/>
        <v>365</v>
      </c>
      <c r="G324" s="25">
        <v>320</v>
      </c>
      <c r="H324" s="26">
        <f t="shared" si="42"/>
        <v>54683</v>
      </c>
      <c r="I324" s="26">
        <f t="shared" si="44"/>
        <v>54713</v>
      </c>
      <c r="J324" s="25">
        <f t="shared" si="40"/>
        <v>27</v>
      </c>
      <c r="K324" s="4"/>
      <c r="L324" s="5"/>
      <c r="M324" s="27">
        <f t="shared" si="45"/>
        <v>874554.10000000219</v>
      </c>
      <c r="N324" s="27">
        <f t="shared" si="46"/>
        <v>24860.94</v>
      </c>
      <c r="O324" s="27">
        <f t="shared" si="47"/>
        <v>17816.589999999997</v>
      </c>
      <c r="P324" s="27">
        <f t="shared" si="48"/>
        <v>7044.35</v>
      </c>
      <c r="Q324" s="28">
        <f t="shared" si="49"/>
        <v>856737.51000000222</v>
      </c>
      <c r="R324" s="8"/>
      <c r="S324" s="29">
        <f t="shared" si="43"/>
        <v>0</v>
      </c>
      <c r="T324" s="29"/>
    </row>
    <row r="325" spans="1:20" x14ac:dyDescent="0.25">
      <c r="A325" s="8"/>
      <c r="B325" s="36"/>
      <c r="C325" s="8"/>
      <c r="D325" s="8"/>
      <c r="E325" s="8"/>
      <c r="F325" s="24">
        <f t="shared" si="41"/>
        <v>365</v>
      </c>
      <c r="G325" s="25">
        <v>321</v>
      </c>
      <c r="H325" s="26">
        <f t="shared" si="42"/>
        <v>54713</v>
      </c>
      <c r="I325" s="26">
        <f t="shared" si="44"/>
        <v>54744</v>
      </c>
      <c r="J325" s="25">
        <f t="shared" ref="J325:J364" si="50">ROUNDUP(G325/12,0)</f>
        <v>27</v>
      </c>
      <c r="K325" s="4"/>
      <c r="L325" s="5"/>
      <c r="M325" s="27">
        <f t="shared" si="45"/>
        <v>856737.51000000222</v>
      </c>
      <c r="N325" s="27">
        <f t="shared" si="46"/>
        <v>24860.94</v>
      </c>
      <c r="O325" s="27">
        <f t="shared" si="47"/>
        <v>17730.07</v>
      </c>
      <c r="P325" s="27">
        <f t="shared" si="48"/>
        <v>7130.87</v>
      </c>
      <c r="Q325" s="28">
        <f t="shared" si="49"/>
        <v>839007.44000000227</v>
      </c>
      <c r="R325" s="8"/>
      <c r="S325" s="29">
        <f t="shared" si="43"/>
        <v>0</v>
      </c>
      <c r="T325" s="29"/>
    </row>
    <row r="326" spans="1:20" x14ac:dyDescent="0.25">
      <c r="A326" s="8"/>
      <c r="B326" s="36"/>
      <c r="C326" s="8"/>
      <c r="D326" s="8"/>
      <c r="E326" s="8"/>
      <c r="F326" s="24">
        <f t="shared" ref="F326:F364" si="51">DATE(YEAR(I326),12,31)-DATE(YEAR(I326),1,1)+1</f>
        <v>365</v>
      </c>
      <c r="G326" s="25">
        <v>322</v>
      </c>
      <c r="H326" s="26">
        <f t="shared" ref="H326:H364" si="52">I325</f>
        <v>54744</v>
      </c>
      <c r="I326" s="26">
        <f t="shared" si="44"/>
        <v>54774</v>
      </c>
      <c r="J326" s="25">
        <f t="shared" si="50"/>
        <v>27</v>
      </c>
      <c r="K326" s="4"/>
      <c r="L326" s="5"/>
      <c r="M326" s="27">
        <f t="shared" si="45"/>
        <v>839007.44000000227</v>
      </c>
      <c r="N326" s="27">
        <f t="shared" si="46"/>
        <v>24860.94</v>
      </c>
      <c r="O326" s="27">
        <f t="shared" si="47"/>
        <v>18102.91</v>
      </c>
      <c r="P326" s="27">
        <f t="shared" si="48"/>
        <v>6758.03</v>
      </c>
      <c r="Q326" s="28">
        <f t="shared" si="49"/>
        <v>820904.53000000224</v>
      </c>
      <c r="R326" s="8"/>
      <c r="S326" s="29">
        <f t="shared" ref="S326:S364" si="53">IF(AND(K325=$V$4,L325&gt;0),1,0)</f>
        <v>0</v>
      </c>
      <c r="T326" s="29"/>
    </row>
    <row r="327" spans="1:20" x14ac:dyDescent="0.25">
      <c r="A327" s="8"/>
      <c r="B327" s="36"/>
      <c r="C327" s="8"/>
      <c r="D327" s="8"/>
      <c r="E327" s="8"/>
      <c r="F327" s="24">
        <f t="shared" si="51"/>
        <v>365</v>
      </c>
      <c r="G327" s="25">
        <v>323</v>
      </c>
      <c r="H327" s="26">
        <f t="shared" si="52"/>
        <v>54774</v>
      </c>
      <c r="I327" s="26">
        <f t="shared" ref="I327:I364" si="54">EDATE(I326,1)</f>
        <v>54805</v>
      </c>
      <c r="J327" s="25">
        <f t="shared" si="50"/>
        <v>27</v>
      </c>
      <c r="K327" s="4"/>
      <c r="L327" s="5"/>
      <c r="M327" s="27">
        <f t="shared" ref="M327:M364" si="55">Q326</f>
        <v>820904.53000000224</v>
      </c>
      <c r="N327" s="27">
        <f t="shared" ref="N327:N364" si="56">IF(M327&lt;$C$10,M327*((1+$C$9*(DATEDIF(H327,I327,"d")+1)/F327)),IF(AND(L326&lt;&gt;0,K326=$V$4),ROUND(M327*$C$9/12/(1-(1+$C$9/12)^(-(($C$8*12-G326)-1))),2),IF(G327=2,$C$10,N326)))</f>
        <v>24860.94</v>
      </c>
      <c r="O327" s="27">
        <f t="shared" ref="O327:O364" si="57">IFERROR(IF(M327&gt;N327,N327-P327,M327),"-")</f>
        <v>18028.32</v>
      </c>
      <c r="P327" s="27">
        <f t="shared" ref="P327:P364" si="58">IFERROR(IF($C$8*12&gt;=G327,ROUND(M327*$C$9*DATEDIF(H327,I327,"d")/F327,2),0),"-")</f>
        <v>6832.62</v>
      </c>
      <c r="Q327" s="28">
        <f t="shared" ref="Q327:Q364" si="59">M327-O327-IF(K327="",0,L327)</f>
        <v>802876.21000000229</v>
      </c>
      <c r="R327" s="8"/>
      <c r="S327" s="29">
        <f t="shared" si="53"/>
        <v>0</v>
      </c>
      <c r="T327" s="29"/>
    </row>
    <row r="328" spans="1:20" x14ac:dyDescent="0.25">
      <c r="A328" s="8"/>
      <c r="B328" s="36"/>
      <c r="C328" s="8"/>
      <c r="D328" s="8"/>
      <c r="E328" s="8"/>
      <c r="F328" s="24">
        <f t="shared" si="51"/>
        <v>365</v>
      </c>
      <c r="G328" s="25">
        <v>324</v>
      </c>
      <c r="H328" s="26">
        <f t="shared" si="52"/>
        <v>54805</v>
      </c>
      <c r="I328" s="26">
        <f t="shared" si="54"/>
        <v>54836</v>
      </c>
      <c r="J328" s="25">
        <f t="shared" si="50"/>
        <v>27</v>
      </c>
      <c r="K328" s="4"/>
      <c r="L328" s="5"/>
      <c r="M328" s="27">
        <f t="shared" si="55"/>
        <v>802876.21000000229</v>
      </c>
      <c r="N328" s="27">
        <f t="shared" si="56"/>
        <v>24860.94</v>
      </c>
      <c r="O328" s="27">
        <f t="shared" si="57"/>
        <v>18178.37</v>
      </c>
      <c r="P328" s="27">
        <f t="shared" si="58"/>
        <v>6682.57</v>
      </c>
      <c r="Q328" s="28">
        <f t="shared" si="59"/>
        <v>784697.8400000023</v>
      </c>
      <c r="R328" s="8"/>
      <c r="S328" s="29">
        <f t="shared" si="53"/>
        <v>0</v>
      </c>
      <c r="T328" s="29"/>
    </row>
    <row r="329" spans="1:20" x14ac:dyDescent="0.25">
      <c r="A329" s="8"/>
      <c r="B329" s="36"/>
      <c r="C329" s="8"/>
      <c r="D329" s="8"/>
      <c r="E329" s="8"/>
      <c r="F329" s="24">
        <f t="shared" si="51"/>
        <v>365</v>
      </c>
      <c r="G329" s="25">
        <v>325</v>
      </c>
      <c r="H329" s="26">
        <f t="shared" si="52"/>
        <v>54836</v>
      </c>
      <c r="I329" s="26">
        <f t="shared" si="54"/>
        <v>54864</v>
      </c>
      <c r="J329" s="25">
        <f t="shared" si="50"/>
        <v>28</v>
      </c>
      <c r="K329" s="4"/>
      <c r="L329" s="5"/>
      <c r="M329" s="27">
        <f t="shared" si="55"/>
        <v>784697.8400000023</v>
      </c>
      <c r="N329" s="27">
        <f t="shared" si="56"/>
        <v>24860.94</v>
      </c>
      <c r="O329" s="27">
        <f t="shared" si="57"/>
        <v>18961.73</v>
      </c>
      <c r="P329" s="27">
        <f t="shared" si="58"/>
        <v>5899.21</v>
      </c>
      <c r="Q329" s="28">
        <f t="shared" si="59"/>
        <v>765736.11000000231</v>
      </c>
      <c r="R329" s="8"/>
      <c r="S329" s="29">
        <f t="shared" si="53"/>
        <v>0</v>
      </c>
      <c r="T329" s="29"/>
    </row>
    <row r="330" spans="1:20" x14ac:dyDescent="0.25">
      <c r="A330" s="8"/>
      <c r="B330" s="36"/>
      <c r="C330" s="8"/>
      <c r="D330" s="8"/>
      <c r="E330" s="8"/>
      <c r="F330" s="24">
        <f t="shared" si="51"/>
        <v>365</v>
      </c>
      <c r="G330" s="25">
        <v>326</v>
      </c>
      <c r="H330" s="26">
        <f t="shared" si="52"/>
        <v>54864</v>
      </c>
      <c r="I330" s="26">
        <f t="shared" si="54"/>
        <v>54895</v>
      </c>
      <c r="J330" s="25">
        <f t="shared" si="50"/>
        <v>28</v>
      </c>
      <c r="K330" s="4"/>
      <c r="L330" s="5"/>
      <c r="M330" s="27">
        <f t="shared" si="55"/>
        <v>765736.11000000231</v>
      </c>
      <c r="N330" s="27">
        <f t="shared" si="56"/>
        <v>24860.94</v>
      </c>
      <c r="O330" s="27">
        <f t="shared" si="57"/>
        <v>18487.5</v>
      </c>
      <c r="P330" s="27">
        <f t="shared" si="58"/>
        <v>6373.44</v>
      </c>
      <c r="Q330" s="28">
        <f t="shared" si="59"/>
        <v>747248.61000000231</v>
      </c>
      <c r="R330" s="8"/>
      <c r="S330" s="29">
        <f t="shared" si="53"/>
        <v>0</v>
      </c>
      <c r="T330" s="29"/>
    </row>
    <row r="331" spans="1:20" x14ac:dyDescent="0.25">
      <c r="A331" s="8"/>
      <c r="B331" s="36"/>
      <c r="C331" s="8"/>
      <c r="D331" s="8"/>
      <c r="E331" s="8"/>
      <c r="F331" s="24">
        <f t="shared" si="51"/>
        <v>365</v>
      </c>
      <c r="G331" s="25">
        <v>327</v>
      </c>
      <c r="H331" s="26">
        <f t="shared" si="52"/>
        <v>54895</v>
      </c>
      <c r="I331" s="26">
        <f t="shared" si="54"/>
        <v>54925</v>
      </c>
      <c r="J331" s="25">
        <f t="shared" si="50"/>
        <v>28</v>
      </c>
      <c r="K331" s="4"/>
      <c r="L331" s="5"/>
      <c r="M331" s="27">
        <f t="shared" si="55"/>
        <v>747248.61000000231</v>
      </c>
      <c r="N331" s="27">
        <f t="shared" si="56"/>
        <v>24860.94</v>
      </c>
      <c r="O331" s="27">
        <f t="shared" si="57"/>
        <v>18842.009999999998</v>
      </c>
      <c r="P331" s="27">
        <f t="shared" si="58"/>
        <v>6018.93</v>
      </c>
      <c r="Q331" s="28">
        <f t="shared" si="59"/>
        <v>728406.60000000231</v>
      </c>
      <c r="R331" s="8"/>
      <c r="S331" s="29">
        <f t="shared" si="53"/>
        <v>0</v>
      </c>
      <c r="T331" s="29"/>
    </row>
    <row r="332" spans="1:20" x14ac:dyDescent="0.25">
      <c r="A332" s="8"/>
      <c r="B332" s="36"/>
      <c r="C332" s="8"/>
      <c r="D332" s="8"/>
      <c r="E332" s="8"/>
      <c r="F332" s="24">
        <f t="shared" si="51"/>
        <v>365</v>
      </c>
      <c r="G332" s="25">
        <v>328</v>
      </c>
      <c r="H332" s="26">
        <f t="shared" si="52"/>
        <v>54925</v>
      </c>
      <c r="I332" s="26">
        <f t="shared" si="54"/>
        <v>54956</v>
      </c>
      <c r="J332" s="25">
        <f t="shared" si="50"/>
        <v>28</v>
      </c>
      <c r="K332" s="4"/>
      <c r="L332" s="5"/>
      <c r="M332" s="27">
        <f t="shared" si="55"/>
        <v>728406.60000000231</v>
      </c>
      <c r="N332" s="27">
        <f t="shared" si="56"/>
        <v>24860.94</v>
      </c>
      <c r="O332" s="27">
        <f t="shared" si="57"/>
        <v>18798.199999999997</v>
      </c>
      <c r="P332" s="27">
        <f t="shared" si="58"/>
        <v>6062.74</v>
      </c>
      <c r="Q332" s="28">
        <f t="shared" si="59"/>
        <v>709608.40000000235</v>
      </c>
      <c r="R332" s="8"/>
      <c r="S332" s="29">
        <f t="shared" si="53"/>
        <v>0</v>
      </c>
      <c r="T332" s="29"/>
    </row>
    <row r="333" spans="1:20" x14ac:dyDescent="0.25">
      <c r="A333" s="8"/>
      <c r="B333" s="36"/>
      <c r="C333" s="8"/>
      <c r="D333" s="8"/>
      <c r="E333" s="8"/>
      <c r="F333" s="24">
        <f t="shared" si="51"/>
        <v>365</v>
      </c>
      <c r="G333" s="25">
        <v>329</v>
      </c>
      <c r="H333" s="26">
        <f t="shared" si="52"/>
        <v>54956</v>
      </c>
      <c r="I333" s="26">
        <f t="shared" si="54"/>
        <v>54986</v>
      </c>
      <c r="J333" s="25">
        <f t="shared" si="50"/>
        <v>28</v>
      </c>
      <c r="K333" s="4"/>
      <c r="L333" s="5"/>
      <c r="M333" s="27">
        <f t="shared" si="55"/>
        <v>709608.40000000235</v>
      </c>
      <c r="N333" s="27">
        <f t="shared" si="56"/>
        <v>24860.94</v>
      </c>
      <c r="O333" s="27">
        <f t="shared" si="57"/>
        <v>19145.189999999999</v>
      </c>
      <c r="P333" s="27">
        <f t="shared" si="58"/>
        <v>5715.75</v>
      </c>
      <c r="Q333" s="28">
        <f t="shared" si="59"/>
        <v>690463.21000000241</v>
      </c>
      <c r="R333" s="8"/>
      <c r="S333" s="29">
        <f t="shared" si="53"/>
        <v>0</v>
      </c>
      <c r="T333" s="29"/>
    </row>
    <row r="334" spans="1:20" x14ac:dyDescent="0.25">
      <c r="A334" s="8"/>
      <c r="B334" s="36"/>
      <c r="C334" s="8"/>
      <c r="D334" s="8"/>
      <c r="E334" s="8"/>
      <c r="F334" s="24">
        <f t="shared" si="51"/>
        <v>365</v>
      </c>
      <c r="G334" s="25">
        <v>330</v>
      </c>
      <c r="H334" s="26">
        <f t="shared" si="52"/>
        <v>54986</v>
      </c>
      <c r="I334" s="26">
        <f t="shared" si="54"/>
        <v>55017</v>
      </c>
      <c r="J334" s="25">
        <f t="shared" si="50"/>
        <v>28</v>
      </c>
      <c r="K334" s="4"/>
      <c r="L334" s="5"/>
      <c r="M334" s="27">
        <f t="shared" si="55"/>
        <v>690463.21000000241</v>
      </c>
      <c r="N334" s="27">
        <f t="shared" si="56"/>
        <v>24860.94</v>
      </c>
      <c r="O334" s="27">
        <f t="shared" si="57"/>
        <v>19114.019999999997</v>
      </c>
      <c r="P334" s="27">
        <f t="shared" si="58"/>
        <v>5746.92</v>
      </c>
      <c r="Q334" s="28">
        <f t="shared" si="59"/>
        <v>671349.19000000239</v>
      </c>
      <c r="R334" s="8"/>
      <c r="S334" s="29">
        <f t="shared" si="53"/>
        <v>0</v>
      </c>
      <c r="T334" s="29"/>
    </row>
    <row r="335" spans="1:20" x14ac:dyDescent="0.25">
      <c r="A335" s="8"/>
      <c r="B335" s="36"/>
      <c r="C335" s="8"/>
      <c r="D335" s="8"/>
      <c r="E335" s="8"/>
      <c r="F335" s="24">
        <f t="shared" si="51"/>
        <v>365</v>
      </c>
      <c r="G335" s="25">
        <v>331</v>
      </c>
      <c r="H335" s="26">
        <f t="shared" si="52"/>
        <v>55017</v>
      </c>
      <c r="I335" s="26">
        <f t="shared" si="54"/>
        <v>55048</v>
      </c>
      <c r="J335" s="25">
        <f t="shared" si="50"/>
        <v>28</v>
      </c>
      <c r="K335" s="4"/>
      <c r="L335" s="5"/>
      <c r="M335" s="27">
        <f t="shared" si="55"/>
        <v>671349.19000000239</v>
      </c>
      <c r="N335" s="27">
        <f t="shared" si="56"/>
        <v>24860.94</v>
      </c>
      <c r="O335" s="27">
        <f t="shared" si="57"/>
        <v>19273.11</v>
      </c>
      <c r="P335" s="27">
        <f t="shared" si="58"/>
        <v>5587.83</v>
      </c>
      <c r="Q335" s="28">
        <f t="shared" si="59"/>
        <v>652076.0800000024</v>
      </c>
      <c r="R335" s="8"/>
      <c r="S335" s="29">
        <f t="shared" si="53"/>
        <v>0</v>
      </c>
      <c r="T335" s="29"/>
    </row>
    <row r="336" spans="1:20" x14ac:dyDescent="0.25">
      <c r="A336" s="8"/>
      <c r="B336" s="36"/>
      <c r="C336" s="8"/>
      <c r="D336" s="8"/>
      <c r="E336" s="8"/>
      <c r="F336" s="24">
        <f t="shared" si="51"/>
        <v>365</v>
      </c>
      <c r="G336" s="25">
        <v>332</v>
      </c>
      <c r="H336" s="26">
        <f t="shared" si="52"/>
        <v>55048</v>
      </c>
      <c r="I336" s="26">
        <f t="shared" si="54"/>
        <v>55078</v>
      </c>
      <c r="J336" s="25">
        <f t="shared" si="50"/>
        <v>28</v>
      </c>
      <c r="K336" s="4"/>
      <c r="L336" s="5"/>
      <c r="M336" s="27">
        <f t="shared" si="55"/>
        <v>652076.0800000024</v>
      </c>
      <c r="N336" s="27">
        <f t="shared" si="56"/>
        <v>24860.94</v>
      </c>
      <c r="O336" s="27">
        <f t="shared" si="57"/>
        <v>19608.599999999999</v>
      </c>
      <c r="P336" s="27">
        <f t="shared" si="58"/>
        <v>5252.34</v>
      </c>
      <c r="Q336" s="28">
        <f t="shared" si="59"/>
        <v>632467.48000000243</v>
      </c>
      <c r="R336" s="8"/>
      <c r="S336" s="29">
        <f t="shared" si="53"/>
        <v>0</v>
      </c>
      <c r="T336" s="29"/>
    </row>
    <row r="337" spans="1:20" x14ac:dyDescent="0.25">
      <c r="A337" s="8"/>
      <c r="B337" s="36"/>
      <c r="C337" s="8"/>
      <c r="D337" s="8"/>
      <c r="E337" s="8"/>
      <c r="F337" s="24">
        <f t="shared" si="51"/>
        <v>365</v>
      </c>
      <c r="G337" s="25">
        <v>333</v>
      </c>
      <c r="H337" s="26">
        <f t="shared" si="52"/>
        <v>55078</v>
      </c>
      <c r="I337" s="26">
        <f t="shared" si="54"/>
        <v>55109</v>
      </c>
      <c r="J337" s="25">
        <f t="shared" si="50"/>
        <v>28</v>
      </c>
      <c r="K337" s="4"/>
      <c r="L337" s="5"/>
      <c r="M337" s="27">
        <f t="shared" si="55"/>
        <v>632467.48000000243</v>
      </c>
      <c r="N337" s="27">
        <f t="shared" si="56"/>
        <v>24860.94</v>
      </c>
      <c r="O337" s="27">
        <f t="shared" si="57"/>
        <v>19596.73</v>
      </c>
      <c r="P337" s="27">
        <f t="shared" si="58"/>
        <v>5264.21</v>
      </c>
      <c r="Q337" s="28">
        <f t="shared" si="59"/>
        <v>612870.75000000244</v>
      </c>
      <c r="R337" s="8"/>
      <c r="S337" s="29">
        <f t="shared" si="53"/>
        <v>0</v>
      </c>
      <c r="T337" s="29"/>
    </row>
    <row r="338" spans="1:20" x14ac:dyDescent="0.25">
      <c r="A338" s="8"/>
      <c r="B338" s="36"/>
      <c r="C338" s="8"/>
      <c r="D338" s="8"/>
      <c r="E338" s="8"/>
      <c r="F338" s="24">
        <f t="shared" si="51"/>
        <v>365</v>
      </c>
      <c r="G338" s="25">
        <v>334</v>
      </c>
      <c r="H338" s="26">
        <f t="shared" si="52"/>
        <v>55109</v>
      </c>
      <c r="I338" s="26">
        <f t="shared" si="54"/>
        <v>55139</v>
      </c>
      <c r="J338" s="25">
        <f t="shared" si="50"/>
        <v>28</v>
      </c>
      <c r="K338" s="4"/>
      <c r="L338" s="5"/>
      <c r="M338" s="27">
        <f t="shared" si="55"/>
        <v>612870.75000000244</v>
      </c>
      <c r="N338" s="27">
        <f t="shared" si="56"/>
        <v>24860.94</v>
      </c>
      <c r="O338" s="27">
        <f t="shared" si="57"/>
        <v>19924.39</v>
      </c>
      <c r="P338" s="27">
        <f t="shared" si="58"/>
        <v>4936.55</v>
      </c>
      <c r="Q338" s="28">
        <f t="shared" si="59"/>
        <v>592946.36000000243</v>
      </c>
      <c r="R338" s="8"/>
      <c r="S338" s="29">
        <f t="shared" si="53"/>
        <v>0</v>
      </c>
      <c r="T338" s="29"/>
    </row>
    <row r="339" spans="1:20" x14ac:dyDescent="0.25">
      <c r="A339" s="8"/>
      <c r="B339" s="36"/>
      <c r="C339" s="8"/>
      <c r="D339" s="8"/>
      <c r="E339" s="8"/>
      <c r="F339" s="24">
        <f t="shared" si="51"/>
        <v>365</v>
      </c>
      <c r="G339" s="25">
        <v>335</v>
      </c>
      <c r="H339" s="26">
        <f t="shared" si="52"/>
        <v>55139</v>
      </c>
      <c r="I339" s="26">
        <f t="shared" si="54"/>
        <v>55170</v>
      </c>
      <c r="J339" s="25">
        <f t="shared" si="50"/>
        <v>28</v>
      </c>
      <c r="K339" s="4"/>
      <c r="L339" s="5"/>
      <c r="M339" s="27">
        <f t="shared" si="55"/>
        <v>592946.36000000243</v>
      </c>
      <c r="N339" s="27">
        <f t="shared" si="56"/>
        <v>24860.94</v>
      </c>
      <c r="O339" s="27">
        <f t="shared" si="57"/>
        <v>19925.68</v>
      </c>
      <c r="P339" s="27">
        <f t="shared" si="58"/>
        <v>4935.26</v>
      </c>
      <c r="Q339" s="28">
        <f t="shared" si="59"/>
        <v>573020.68000000238</v>
      </c>
      <c r="R339" s="8"/>
      <c r="S339" s="29">
        <f t="shared" si="53"/>
        <v>0</v>
      </c>
      <c r="T339" s="29"/>
    </row>
    <row r="340" spans="1:20" x14ac:dyDescent="0.25">
      <c r="A340" s="8"/>
      <c r="B340" s="36"/>
      <c r="C340" s="8"/>
      <c r="D340" s="8"/>
      <c r="E340" s="8"/>
      <c r="F340" s="24">
        <f t="shared" si="51"/>
        <v>365</v>
      </c>
      <c r="G340" s="25">
        <v>336</v>
      </c>
      <c r="H340" s="26">
        <f t="shared" si="52"/>
        <v>55170</v>
      </c>
      <c r="I340" s="26">
        <f t="shared" si="54"/>
        <v>55201</v>
      </c>
      <c r="J340" s="25">
        <f t="shared" si="50"/>
        <v>28</v>
      </c>
      <c r="K340" s="4"/>
      <c r="L340" s="5"/>
      <c r="M340" s="27">
        <f t="shared" si="55"/>
        <v>573020.68000000238</v>
      </c>
      <c r="N340" s="27">
        <f t="shared" si="56"/>
        <v>24860.94</v>
      </c>
      <c r="O340" s="27">
        <f t="shared" si="57"/>
        <v>20091.519999999997</v>
      </c>
      <c r="P340" s="27">
        <f t="shared" si="58"/>
        <v>4769.42</v>
      </c>
      <c r="Q340" s="28">
        <f t="shared" si="59"/>
        <v>552929.16000000236</v>
      </c>
      <c r="R340" s="8"/>
      <c r="S340" s="29">
        <f t="shared" si="53"/>
        <v>0</v>
      </c>
      <c r="T340" s="29"/>
    </row>
    <row r="341" spans="1:20" x14ac:dyDescent="0.25">
      <c r="A341" s="8"/>
      <c r="B341" s="36"/>
      <c r="C341" s="8"/>
      <c r="D341" s="8"/>
      <c r="E341" s="8"/>
      <c r="F341" s="24">
        <f t="shared" si="51"/>
        <v>365</v>
      </c>
      <c r="G341" s="25">
        <v>337</v>
      </c>
      <c r="H341" s="26">
        <f t="shared" si="52"/>
        <v>55201</v>
      </c>
      <c r="I341" s="26">
        <f t="shared" si="54"/>
        <v>55229</v>
      </c>
      <c r="J341" s="25">
        <f t="shared" si="50"/>
        <v>29</v>
      </c>
      <c r="K341" s="4"/>
      <c r="L341" s="5"/>
      <c r="M341" s="27">
        <f t="shared" si="55"/>
        <v>552929.16000000236</v>
      </c>
      <c r="N341" s="27">
        <f t="shared" si="56"/>
        <v>24860.94</v>
      </c>
      <c r="O341" s="27">
        <f t="shared" si="57"/>
        <v>20704.12</v>
      </c>
      <c r="P341" s="27">
        <f t="shared" si="58"/>
        <v>4156.82</v>
      </c>
      <c r="Q341" s="28">
        <f t="shared" si="59"/>
        <v>532225.04000000237</v>
      </c>
      <c r="R341" s="8"/>
      <c r="S341" s="29">
        <f t="shared" si="53"/>
        <v>0</v>
      </c>
      <c r="T341" s="29"/>
    </row>
    <row r="342" spans="1:20" x14ac:dyDescent="0.25">
      <c r="A342" s="8"/>
      <c r="B342" s="36"/>
      <c r="C342" s="8"/>
      <c r="D342" s="8"/>
      <c r="E342" s="8"/>
      <c r="F342" s="24">
        <f t="shared" si="51"/>
        <v>365</v>
      </c>
      <c r="G342" s="25">
        <v>338</v>
      </c>
      <c r="H342" s="26">
        <f t="shared" si="52"/>
        <v>55229</v>
      </c>
      <c r="I342" s="26">
        <f t="shared" si="54"/>
        <v>55260</v>
      </c>
      <c r="J342" s="25">
        <f t="shared" si="50"/>
        <v>29</v>
      </c>
      <c r="K342" s="4"/>
      <c r="L342" s="5"/>
      <c r="M342" s="27">
        <f t="shared" si="55"/>
        <v>532225.04000000237</v>
      </c>
      <c r="N342" s="27">
        <f t="shared" si="56"/>
        <v>24860.94</v>
      </c>
      <c r="O342" s="27">
        <f t="shared" si="57"/>
        <v>20431.079999999998</v>
      </c>
      <c r="P342" s="27">
        <f t="shared" si="58"/>
        <v>4429.8599999999997</v>
      </c>
      <c r="Q342" s="28">
        <f t="shared" si="59"/>
        <v>511793.96000000235</v>
      </c>
      <c r="R342" s="8"/>
      <c r="S342" s="29">
        <f t="shared" si="53"/>
        <v>0</v>
      </c>
      <c r="T342" s="29"/>
    </row>
    <row r="343" spans="1:20" x14ac:dyDescent="0.25">
      <c r="A343" s="8"/>
      <c r="B343" s="36"/>
      <c r="C343" s="8"/>
      <c r="D343" s="8"/>
      <c r="E343" s="8"/>
      <c r="F343" s="24">
        <f t="shared" si="51"/>
        <v>365</v>
      </c>
      <c r="G343" s="25">
        <v>339</v>
      </c>
      <c r="H343" s="26">
        <f t="shared" si="52"/>
        <v>55260</v>
      </c>
      <c r="I343" s="26">
        <f t="shared" si="54"/>
        <v>55290</v>
      </c>
      <c r="J343" s="25">
        <f t="shared" si="50"/>
        <v>29</v>
      </c>
      <c r="K343" s="4"/>
      <c r="L343" s="5"/>
      <c r="M343" s="27">
        <f t="shared" si="55"/>
        <v>511793.96000000235</v>
      </c>
      <c r="N343" s="27">
        <f t="shared" si="56"/>
        <v>24860.94</v>
      </c>
      <c r="O343" s="27">
        <f t="shared" si="57"/>
        <v>20738.54</v>
      </c>
      <c r="P343" s="27">
        <f t="shared" si="58"/>
        <v>4122.3999999999996</v>
      </c>
      <c r="Q343" s="28">
        <f t="shared" si="59"/>
        <v>491055.42000000237</v>
      </c>
      <c r="R343" s="8"/>
      <c r="S343" s="29">
        <f t="shared" si="53"/>
        <v>0</v>
      </c>
      <c r="T343" s="29"/>
    </row>
    <row r="344" spans="1:20" x14ac:dyDescent="0.25">
      <c r="A344" s="8"/>
      <c r="B344" s="36"/>
      <c r="C344" s="8"/>
      <c r="D344" s="8"/>
      <c r="E344" s="8"/>
      <c r="F344" s="24">
        <f t="shared" si="51"/>
        <v>365</v>
      </c>
      <c r="G344" s="25">
        <v>340</v>
      </c>
      <c r="H344" s="26">
        <f t="shared" si="52"/>
        <v>55290</v>
      </c>
      <c r="I344" s="26">
        <f t="shared" si="54"/>
        <v>55321</v>
      </c>
      <c r="J344" s="25">
        <f t="shared" si="50"/>
        <v>29</v>
      </c>
      <c r="K344" s="4"/>
      <c r="L344" s="5"/>
      <c r="M344" s="27">
        <f t="shared" si="55"/>
        <v>491055.42000000237</v>
      </c>
      <c r="N344" s="27">
        <f t="shared" si="56"/>
        <v>24860.94</v>
      </c>
      <c r="O344" s="27">
        <f t="shared" si="57"/>
        <v>20773.739999999998</v>
      </c>
      <c r="P344" s="27">
        <f t="shared" si="58"/>
        <v>4087.2</v>
      </c>
      <c r="Q344" s="28">
        <f t="shared" si="59"/>
        <v>470281.68000000238</v>
      </c>
      <c r="R344" s="8"/>
      <c r="S344" s="29">
        <f t="shared" si="53"/>
        <v>0</v>
      </c>
      <c r="T344" s="29"/>
    </row>
    <row r="345" spans="1:20" x14ac:dyDescent="0.25">
      <c r="A345" s="8"/>
      <c r="B345" s="36"/>
      <c r="C345" s="8"/>
      <c r="D345" s="8"/>
      <c r="E345" s="8"/>
      <c r="F345" s="24">
        <f t="shared" si="51"/>
        <v>365</v>
      </c>
      <c r="G345" s="25">
        <v>341</v>
      </c>
      <c r="H345" s="26">
        <f t="shared" si="52"/>
        <v>55321</v>
      </c>
      <c r="I345" s="26">
        <f t="shared" si="54"/>
        <v>55351</v>
      </c>
      <c r="J345" s="25">
        <f t="shared" si="50"/>
        <v>29</v>
      </c>
      <c r="K345" s="4"/>
      <c r="L345" s="5"/>
      <c r="M345" s="27">
        <f t="shared" si="55"/>
        <v>470281.68000000238</v>
      </c>
      <c r="N345" s="27">
        <f t="shared" si="56"/>
        <v>24860.94</v>
      </c>
      <c r="O345" s="27">
        <f t="shared" si="57"/>
        <v>21072.92</v>
      </c>
      <c r="P345" s="27">
        <f t="shared" si="58"/>
        <v>3788.02</v>
      </c>
      <c r="Q345" s="28">
        <f t="shared" si="59"/>
        <v>449208.7600000024</v>
      </c>
      <c r="R345" s="8"/>
      <c r="S345" s="29">
        <f t="shared" si="53"/>
        <v>0</v>
      </c>
      <c r="T345" s="29"/>
    </row>
    <row r="346" spans="1:20" x14ac:dyDescent="0.25">
      <c r="A346" s="8"/>
      <c r="B346" s="36"/>
      <c r="C346" s="8"/>
      <c r="D346" s="8"/>
      <c r="E346" s="8"/>
      <c r="F346" s="24">
        <f t="shared" si="51"/>
        <v>365</v>
      </c>
      <c r="G346" s="25">
        <v>342</v>
      </c>
      <c r="H346" s="26">
        <f t="shared" si="52"/>
        <v>55351</v>
      </c>
      <c r="I346" s="26">
        <f t="shared" si="54"/>
        <v>55382</v>
      </c>
      <c r="J346" s="25">
        <f t="shared" si="50"/>
        <v>29</v>
      </c>
      <c r="K346" s="4"/>
      <c r="L346" s="5"/>
      <c r="M346" s="27">
        <f t="shared" si="55"/>
        <v>449208.7600000024</v>
      </c>
      <c r="N346" s="27">
        <f t="shared" si="56"/>
        <v>24860.94</v>
      </c>
      <c r="O346" s="27">
        <f t="shared" si="57"/>
        <v>21122.05</v>
      </c>
      <c r="P346" s="27">
        <f t="shared" si="58"/>
        <v>3738.89</v>
      </c>
      <c r="Q346" s="28">
        <f t="shared" si="59"/>
        <v>428086.71000000241</v>
      </c>
      <c r="R346" s="8"/>
      <c r="S346" s="29">
        <f t="shared" si="53"/>
        <v>0</v>
      </c>
      <c r="T346" s="29"/>
    </row>
    <row r="347" spans="1:20" x14ac:dyDescent="0.25">
      <c r="A347" s="8"/>
      <c r="B347" s="36"/>
      <c r="C347" s="8"/>
      <c r="D347" s="8"/>
      <c r="E347" s="8"/>
      <c r="F347" s="24">
        <f t="shared" si="51"/>
        <v>365</v>
      </c>
      <c r="G347" s="25">
        <v>343</v>
      </c>
      <c r="H347" s="26">
        <f t="shared" si="52"/>
        <v>55382</v>
      </c>
      <c r="I347" s="26">
        <f t="shared" si="54"/>
        <v>55413</v>
      </c>
      <c r="J347" s="25">
        <f t="shared" si="50"/>
        <v>29</v>
      </c>
      <c r="K347" s="4"/>
      <c r="L347" s="5"/>
      <c r="M347" s="27">
        <f t="shared" si="55"/>
        <v>428086.71000000241</v>
      </c>
      <c r="N347" s="27">
        <f t="shared" si="56"/>
        <v>24860.94</v>
      </c>
      <c r="O347" s="27">
        <f t="shared" si="57"/>
        <v>21297.85</v>
      </c>
      <c r="P347" s="27">
        <f t="shared" si="58"/>
        <v>3563.09</v>
      </c>
      <c r="Q347" s="28">
        <f t="shared" si="59"/>
        <v>406788.86000000243</v>
      </c>
      <c r="R347" s="8"/>
      <c r="S347" s="29">
        <f t="shared" si="53"/>
        <v>0</v>
      </c>
      <c r="T347" s="29"/>
    </row>
    <row r="348" spans="1:20" x14ac:dyDescent="0.25">
      <c r="A348" s="8"/>
      <c r="B348" s="36"/>
      <c r="C348" s="8"/>
      <c r="D348" s="8"/>
      <c r="E348" s="8"/>
      <c r="F348" s="24">
        <f t="shared" si="51"/>
        <v>365</v>
      </c>
      <c r="G348" s="25">
        <v>344</v>
      </c>
      <c r="H348" s="26">
        <f t="shared" si="52"/>
        <v>55413</v>
      </c>
      <c r="I348" s="26">
        <f t="shared" si="54"/>
        <v>55443</v>
      </c>
      <c r="J348" s="25">
        <f t="shared" si="50"/>
        <v>29</v>
      </c>
      <c r="K348" s="4"/>
      <c r="L348" s="5"/>
      <c r="M348" s="27">
        <f t="shared" si="55"/>
        <v>406788.86000000243</v>
      </c>
      <c r="N348" s="27">
        <f t="shared" si="56"/>
        <v>24860.94</v>
      </c>
      <c r="O348" s="27">
        <f t="shared" si="57"/>
        <v>21584.34</v>
      </c>
      <c r="P348" s="27">
        <f t="shared" si="58"/>
        <v>3276.6</v>
      </c>
      <c r="Q348" s="28">
        <f t="shared" si="59"/>
        <v>385204.52000000241</v>
      </c>
      <c r="R348" s="8"/>
      <c r="S348" s="29">
        <f t="shared" si="53"/>
        <v>0</v>
      </c>
      <c r="T348" s="29"/>
    </row>
    <row r="349" spans="1:20" x14ac:dyDescent="0.25">
      <c r="A349" s="8"/>
      <c r="B349" s="36"/>
      <c r="C349" s="8"/>
      <c r="D349" s="8"/>
      <c r="E349" s="8"/>
      <c r="F349" s="24">
        <f t="shared" si="51"/>
        <v>365</v>
      </c>
      <c r="G349" s="25">
        <v>345</v>
      </c>
      <c r="H349" s="26">
        <f t="shared" si="52"/>
        <v>55443</v>
      </c>
      <c r="I349" s="26">
        <f t="shared" si="54"/>
        <v>55474</v>
      </c>
      <c r="J349" s="25">
        <f t="shared" si="50"/>
        <v>29</v>
      </c>
      <c r="K349" s="4"/>
      <c r="L349" s="5"/>
      <c r="M349" s="27">
        <f t="shared" si="55"/>
        <v>385204.52000000241</v>
      </c>
      <c r="N349" s="27">
        <f t="shared" si="56"/>
        <v>24860.94</v>
      </c>
      <c r="O349" s="27">
        <f t="shared" si="57"/>
        <v>21654.769999999997</v>
      </c>
      <c r="P349" s="27">
        <f t="shared" si="58"/>
        <v>3206.17</v>
      </c>
      <c r="Q349" s="28">
        <f t="shared" si="59"/>
        <v>363549.75000000239</v>
      </c>
      <c r="R349" s="8"/>
      <c r="S349" s="29">
        <f t="shared" si="53"/>
        <v>0</v>
      </c>
      <c r="T349" s="29"/>
    </row>
    <row r="350" spans="1:20" x14ac:dyDescent="0.25">
      <c r="A350" s="8"/>
      <c r="B350" s="36"/>
      <c r="C350" s="8"/>
      <c r="D350" s="8"/>
      <c r="E350" s="8"/>
      <c r="F350" s="24">
        <f t="shared" si="51"/>
        <v>365</v>
      </c>
      <c r="G350" s="25">
        <v>346</v>
      </c>
      <c r="H350" s="26">
        <f t="shared" si="52"/>
        <v>55474</v>
      </c>
      <c r="I350" s="26">
        <f t="shared" si="54"/>
        <v>55504</v>
      </c>
      <c r="J350" s="25">
        <f t="shared" si="50"/>
        <v>29</v>
      </c>
      <c r="K350" s="4"/>
      <c r="L350" s="5"/>
      <c r="M350" s="27">
        <f t="shared" si="55"/>
        <v>363549.75000000239</v>
      </c>
      <c r="N350" s="27">
        <f t="shared" si="56"/>
        <v>24860.94</v>
      </c>
      <c r="O350" s="27">
        <f t="shared" si="57"/>
        <v>21932.62</v>
      </c>
      <c r="P350" s="27">
        <f t="shared" si="58"/>
        <v>2928.32</v>
      </c>
      <c r="Q350" s="28">
        <f t="shared" si="59"/>
        <v>341617.13000000239</v>
      </c>
      <c r="R350" s="8"/>
      <c r="S350" s="29">
        <f t="shared" si="53"/>
        <v>0</v>
      </c>
      <c r="T350" s="29"/>
    </row>
    <row r="351" spans="1:20" x14ac:dyDescent="0.25">
      <c r="A351" s="8"/>
      <c r="B351" s="36"/>
      <c r="C351" s="8"/>
      <c r="D351" s="8"/>
      <c r="E351" s="8"/>
      <c r="F351" s="24">
        <f t="shared" si="51"/>
        <v>366</v>
      </c>
      <c r="G351" s="25">
        <v>347</v>
      </c>
      <c r="H351" s="26">
        <f t="shared" si="52"/>
        <v>55504</v>
      </c>
      <c r="I351" s="26">
        <f t="shared" si="54"/>
        <v>55535</v>
      </c>
      <c r="J351" s="25">
        <f t="shared" si="50"/>
        <v>29</v>
      </c>
      <c r="K351" s="4"/>
      <c r="L351" s="5"/>
      <c r="M351" s="27">
        <f t="shared" si="55"/>
        <v>341617.13000000239</v>
      </c>
      <c r="N351" s="27">
        <f t="shared" si="56"/>
        <v>24860.94</v>
      </c>
      <c r="O351" s="27">
        <f t="shared" si="57"/>
        <v>22025.329999999998</v>
      </c>
      <c r="P351" s="27">
        <f t="shared" si="58"/>
        <v>2835.61</v>
      </c>
      <c r="Q351" s="28">
        <f t="shared" si="59"/>
        <v>319591.80000000237</v>
      </c>
      <c r="R351" s="8"/>
      <c r="S351" s="29">
        <f t="shared" si="53"/>
        <v>0</v>
      </c>
      <c r="T351" s="29"/>
    </row>
    <row r="352" spans="1:20" x14ac:dyDescent="0.25">
      <c r="A352" s="8"/>
      <c r="B352" s="36"/>
      <c r="C352" s="8"/>
      <c r="D352" s="8"/>
      <c r="E352" s="8"/>
      <c r="F352" s="24">
        <f t="shared" si="51"/>
        <v>366</v>
      </c>
      <c r="G352" s="25">
        <v>348</v>
      </c>
      <c r="H352" s="26">
        <f t="shared" si="52"/>
        <v>55535</v>
      </c>
      <c r="I352" s="26">
        <f t="shared" si="54"/>
        <v>55566</v>
      </c>
      <c r="J352" s="25">
        <f t="shared" si="50"/>
        <v>29</v>
      </c>
      <c r="K352" s="4"/>
      <c r="L352" s="5"/>
      <c r="M352" s="27">
        <f t="shared" si="55"/>
        <v>319591.80000000237</v>
      </c>
      <c r="N352" s="27">
        <f t="shared" si="56"/>
        <v>24860.94</v>
      </c>
      <c r="O352" s="27">
        <f t="shared" si="57"/>
        <v>22208.149999999998</v>
      </c>
      <c r="P352" s="27">
        <f t="shared" si="58"/>
        <v>2652.79</v>
      </c>
      <c r="Q352" s="28">
        <f t="shared" si="59"/>
        <v>297383.65000000235</v>
      </c>
      <c r="R352" s="8"/>
      <c r="S352" s="29">
        <f t="shared" si="53"/>
        <v>0</v>
      </c>
      <c r="T352" s="29"/>
    </row>
    <row r="353" spans="1:20" x14ac:dyDescent="0.25">
      <c r="A353" s="8"/>
      <c r="B353" s="36"/>
      <c r="C353" s="8"/>
      <c r="D353" s="8"/>
      <c r="E353" s="8"/>
      <c r="F353" s="24">
        <f t="shared" si="51"/>
        <v>366</v>
      </c>
      <c r="G353" s="25">
        <v>349</v>
      </c>
      <c r="H353" s="26">
        <f t="shared" si="52"/>
        <v>55566</v>
      </c>
      <c r="I353" s="26">
        <f t="shared" si="54"/>
        <v>55595</v>
      </c>
      <c r="J353" s="25">
        <f t="shared" si="50"/>
        <v>30</v>
      </c>
      <c r="K353" s="4"/>
      <c r="L353" s="5"/>
      <c r="M353" s="27">
        <f t="shared" si="55"/>
        <v>297383.65000000235</v>
      </c>
      <c r="N353" s="27">
        <f t="shared" si="56"/>
        <v>24860.94</v>
      </c>
      <c r="O353" s="27">
        <f t="shared" si="57"/>
        <v>22551.75</v>
      </c>
      <c r="P353" s="27">
        <f t="shared" si="58"/>
        <v>2309.19</v>
      </c>
      <c r="Q353" s="28">
        <f t="shared" si="59"/>
        <v>274831.90000000235</v>
      </c>
      <c r="R353" s="8"/>
      <c r="S353" s="29">
        <f t="shared" si="53"/>
        <v>0</v>
      </c>
      <c r="T353" s="29"/>
    </row>
    <row r="354" spans="1:20" x14ac:dyDescent="0.25">
      <c r="A354" s="8"/>
      <c r="B354" s="36"/>
      <c r="C354" s="8"/>
      <c r="D354" s="8"/>
      <c r="E354" s="8"/>
      <c r="F354" s="24">
        <f t="shared" si="51"/>
        <v>366</v>
      </c>
      <c r="G354" s="25">
        <v>350</v>
      </c>
      <c r="H354" s="26">
        <f t="shared" si="52"/>
        <v>55595</v>
      </c>
      <c r="I354" s="26">
        <f t="shared" si="54"/>
        <v>55626</v>
      </c>
      <c r="J354" s="25">
        <f t="shared" si="50"/>
        <v>30</v>
      </c>
      <c r="K354" s="4"/>
      <c r="L354" s="5"/>
      <c r="M354" s="27">
        <f t="shared" si="55"/>
        <v>274831.90000000235</v>
      </c>
      <c r="N354" s="27">
        <f t="shared" si="56"/>
        <v>24860.94</v>
      </c>
      <c r="O354" s="27">
        <f t="shared" si="57"/>
        <v>22579.69</v>
      </c>
      <c r="P354" s="27">
        <f t="shared" si="58"/>
        <v>2281.25</v>
      </c>
      <c r="Q354" s="28">
        <f t="shared" si="59"/>
        <v>252252.21000000235</v>
      </c>
      <c r="R354" s="8"/>
      <c r="S354" s="29">
        <f t="shared" si="53"/>
        <v>0</v>
      </c>
      <c r="T354" s="29"/>
    </row>
    <row r="355" spans="1:20" x14ac:dyDescent="0.25">
      <c r="A355" s="8"/>
      <c r="B355" s="36"/>
      <c r="C355" s="8"/>
      <c r="D355" s="8"/>
      <c r="E355" s="8"/>
      <c r="F355" s="24">
        <f t="shared" si="51"/>
        <v>366</v>
      </c>
      <c r="G355" s="25">
        <v>351</v>
      </c>
      <c r="H355" s="26">
        <f t="shared" si="52"/>
        <v>55626</v>
      </c>
      <c r="I355" s="26">
        <f t="shared" si="54"/>
        <v>55656</v>
      </c>
      <c r="J355" s="25">
        <f t="shared" si="50"/>
        <v>30</v>
      </c>
      <c r="K355" s="4"/>
      <c r="L355" s="5"/>
      <c r="M355" s="27">
        <f t="shared" si="55"/>
        <v>252252.21000000235</v>
      </c>
      <c r="N355" s="27">
        <f t="shared" si="56"/>
        <v>24860.94</v>
      </c>
      <c r="O355" s="27">
        <f t="shared" si="57"/>
        <v>22834.649999999998</v>
      </c>
      <c r="P355" s="27">
        <f t="shared" si="58"/>
        <v>2026.29</v>
      </c>
      <c r="Q355" s="28">
        <f t="shared" si="59"/>
        <v>229417.56000000236</v>
      </c>
      <c r="R355" s="8"/>
      <c r="S355" s="29">
        <f t="shared" si="53"/>
        <v>0</v>
      </c>
      <c r="T355" s="29"/>
    </row>
    <row r="356" spans="1:20" x14ac:dyDescent="0.25">
      <c r="A356" s="8"/>
      <c r="B356" s="36"/>
      <c r="C356" s="8"/>
      <c r="D356" s="8"/>
      <c r="E356" s="8"/>
      <c r="F356" s="24">
        <f t="shared" si="51"/>
        <v>366</v>
      </c>
      <c r="G356" s="25">
        <v>352</v>
      </c>
      <c r="H356" s="26">
        <f t="shared" si="52"/>
        <v>55656</v>
      </c>
      <c r="I356" s="26">
        <f t="shared" si="54"/>
        <v>55687</v>
      </c>
      <c r="J356" s="25">
        <f t="shared" si="50"/>
        <v>30</v>
      </c>
      <c r="K356" s="4"/>
      <c r="L356" s="5"/>
      <c r="M356" s="27">
        <f t="shared" si="55"/>
        <v>229417.56000000236</v>
      </c>
      <c r="N356" s="27">
        <f t="shared" si="56"/>
        <v>24860.94</v>
      </c>
      <c r="O356" s="27">
        <f t="shared" si="57"/>
        <v>22956.649999999998</v>
      </c>
      <c r="P356" s="27">
        <f t="shared" si="58"/>
        <v>1904.29</v>
      </c>
      <c r="Q356" s="28">
        <f t="shared" si="59"/>
        <v>206460.91000000236</v>
      </c>
      <c r="R356" s="8"/>
      <c r="S356" s="29">
        <f t="shared" si="53"/>
        <v>0</v>
      </c>
      <c r="T356" s="29"/>
    </row>
    <row r="357" spans="1:20" x14ac:dyDescent="0.25">
      <c r="A357" s="8"/>
      <c r="B357" s="36"/>
      <c r="C357" s="8"/>
      <c r="D357" s="8"/>
      <c r="E357" s="8"/>
      <c r="F357" s="24">
        <f t="shared" si="51"/>
        <v>366</v>
      </c>
      <c r="G357" s="25">
        <v>353</v>
      </c>
      <c r="H357" s="26">
        <f t="shared" si="52"/>
        <v>55687</v>
      </c>
      <c r="I357" s="26">
        <f t="shared" si="54"/>
        <v>55717</v>
      </c>
      <c r="J357" s="25">
        <f t="shared" si="50"/>
        <v>30</v>
      </c>
      <c r="K357" s="4"/>
      <c r="L357" s="5"/>
      <c r="M357" s="27">
        <f t="shared" si="55"/>
        <v>206460.91000000236</v>
      </c>
      <c r="N357" s="27">
        <f t="shared" si="56"/>
        <v>24860.94</v>
      </c>
      <c r="O357" s="27">
        <f t="shared" si="57"/>
        <v>23202.48</v>
      </c>
      <c r="P357" s="27">
        <f t="shared" si="58"/>
        <v>1658.46</v>
      </c>
      <c r="Q357" s="28">
        <f t="shared" si="59"/>
        <v>183258.43000000235</v>
      </c>
      <c r="R357" s="8"/>
      <c r="S357" s="29">
        <f t="shared" si="53"/>
        <v>0</v>
      </c>
      <c r="T357" s="29"/>
    </row>
    <row r="358" spans="1:20" x14ac:dyDescent="0.25">
      <c r="A358" s="8"/>
      <c r="B358" s="36"/>
      <c r="C358" s="8"/>
      <c r="D358" s="8"/>
      <c r="E358" s="8"/>
      <c r="F358" s="24">
        <f t="shared" si="51"/>
        <v>366</v>
      </c>
      <c r="G358" s="25">
        <v>354</v>
      </c>
      <c r="H358" s="26">
        <f t="shared" si="52"/>
        <v>55717</v>
      </c>
      <c r="I358" s="26">
        <f t="shared" si="54"/>
        <v>55748</v>
      </c>
      <c r="J358" s="25">
        <f t="shared" si="50"/>
        <v>30</v>
      </c>
      <c r="K358" s="4"/>
      <c r="L358" s="5"/>
      <c r="M358" s="27">
        <f t="shared" si="55"/>
        <v>183258.43000000235</v>
      </c>
      <c r="N358" s="27">
        <f t="shared" si="56"/>
        <v>24860.94</v>
      </c>
      <c r="O358" s="27">
        <f t="shared" si="57"/>
        <v>23339.789999999997</v>
      </c>
      <c r="P358" s="27">
        <f t="shared" si="58"/>
        <v>1521.15</v>
      </c>
      <c r="Q358" s="28">
        <f t="shared" si="59"/>
        <v>159918.64000000234</v>
      </c>
      <c r="R358" s="8"/>
      <c r="S358" s="29">
        <f t="shared" si="53"/>
        <v>0</v>
      </c>
      <c r="T358" s="29"/>
    </row>
    <row r="359" spans="1:20" x14ac:dyDescent="0.25">
      <c r="A359" s="8"/>
      <c r="B359" s="36"/>
      <c r="C359" s="8"/>
      <c r="D359" s="8"/>
      <c r="E359" s="8"/>
      <c r="F359" s="24">
        <f t="shared" si="51"/>
        <v>366</v>
      </c>
      <c r="G359" s="25">
        <v>355</v>
      </c>
      <c r="H359" s="26">
        <f t="shared" si="52"/>
        <v>55748</v>
      </c>
      <c r="I359" s="26">
        <f t="shared" si="54"/>
        <v>55779</v>
      </c>
      <c r="J359" s="25">
        <f t="shared" si="50"/>
        <v>30</v>
      </c>
      <c r="K359" s="4"/>
      <c r="L359" s="5"/>
      <c r="M359" s="27">
        <f t="shared" si="55"/>
        <v>159918.64000000234</v>
      </c>
      <c r="N359" s="27">
        <f t="shared" si="56"/>
        <v>24860.94</v>
      </c>
      <c r="O359" s="27">
        <f t="shared" si="57"/>
        <v>23533.53</v>
      </c>
      <c r="P359" s="27">
        <f t="shared" si="58"/>
        <v>1327.41</v>
      </c>
      <c r="Q359" s="28">
        <f t="shared" si="59"/>
        <v>136385.11000000234</v>
      </c>
      <c r="R359" s="8"/>
      <c r="S359" s="29">
        <f t="shared" si="53"/>
        <v>0</v>
      </c>
      <c r="T359" s="29"/>
    </row>
    <row r="360" spans="1:20" x14ac:dyDescent="0.25">
      <c r="A360" s="8"/>
      <c r="B360" s="36"/>
      <c r="C360" s="8"/>
      <c r="D360" s="8"/>
      <c r="E360" s="8"/>
      <c r="F360" s="24">
        <f t="shared" si="51"/>
        <v>366</v>
      </c>
      <c r="G360" s="25">
        <v>356</v>
      </c>
      <c r="H360" s="26">
        <f t="shared" si="52"/>
        <v>55779</v>
      </c>
      <c r="I360" s="26">
        <f t="shared" si="54"/>
        <v>55809</v>
      </c>
      <c r="J360" s="25">
        <f t="shared" si="50"/>
        <v>30</v>
      </c>
      <c r="K360" s="4"/>
      <c r="L360" s="5"/>
      <c r="M360" s="27">
        <f t="shared" si="55"/>
        <v>136385.11000000234</v>
      </c>
      <c r="N360" s="27">
        <f t="shared" si="56"/>
        <v>24860.94</v>
      </c>
      <c r="O360" s="27">
        <f t="shared" si="57"/>
        <v>23765.39</v>
      </c>
      <c r="P360" s="27">
        <f t="shared" si="58"/>
        <v>1095.55</v>
      </c>
      <c r="Q360" s="28">
        <f t="shared" si="59"/>
        <v>112619.72000000234</v>
      </c>
      <c r="R360" s="8"/>
      <c r="S360" s="29">
        <f t="shared" si="53"/>
        <v>0</v>
      </c>
      <c r="T360" s="29"/>
    </row>
    <row r="361" spans="1:20" x14ac:dyDescent="0.25">
      <c r="A361" s="8"/>
      <c r="B361" s="36"/>
      <c r="C361" s="8"/>
      <c r="D361" s="8"/>
      <c r="E361" s="8"/>
      <c r="F361" s="24">
        <f t="shared" si="51"/>
        <v>366</v>
      </c>
      <c r="G361" s="25">
        <v>357</v>
      </c>
      <c r="H361" s="26">
        <f t="shared" si="52"/>
        <v>55809</v>
      </c>
      <c r="I361" s="26">
        <f t="shared" si="54"/>
        <v>55840</v>
      </c>
      <c r="J361" s="25">
        <f t="shared" si="50"/>
        <v>30</v>
      </c>
      <c r="K361" s="4"/>
      <c r="L361" s="5"/>
      <c r="M361" s="27">
        <f t="shared" si="55"/>
        <v>112619.72000000234</v>
      </c>
      <c r="N361" s="27">
        <f t="shared" si="56"/>
        <v>24860.94</v>
      </c>
      <c r="O361" s="27">
        <f t="shared" si="57"/>
        <v>23926.129999999997</v>
      </c>
      <c r="P361" s="27">
        <f t="shared" si="58"/>
        <v>934.81</v>
      </c>
      <c r="Q361" s="28">
        <f t="shared" si="59"/>
        <v>88693.590000002354</v>
      </c>
      <c r="R361" s="8"/>
      <c r="S361" s="29">
        <f t="shared" si="53"/>
        <v>0</v>
      </c>
      <c r="T361" s="29"/>
    </row>
    <row r="362" spans="1:20" x14ac:dyDescent="0.25">
      <c r="A362" s="8"/>
      <c r="B362" s="36"/>
      <c r="C362" s="8"/>
      <c r="D362" s="8"/>
      <c r="E362" s="8"/>
      <c r="F362" s="24">
        <f t="shared" si="51"/>
        <v>366</v>
      </c>
      <c r="G362" s="25">
        <v>358</v>
      </c>
      <c r="H362" s="26">
        <f t="shared" si="52"/>
        <v>55840</v>
      </c>
      <c r="I362" s="26">
        <f t="shared" si="54"/>
        <v>55870</v>
      </c>
      <c r="J362" s="25">
        <f t="shared" si="50"/>
        <v>30</v>
      </c>
      <c r="K362" s="4"/>
      <c r="L362" s="5"/>
      <c r="M362" s="27">
        <f t="shared" si="55"/>
        <v>88693.590000002354</v>
      </c>
      <c r="N362" s="27">
        <f t="shared" si="56"/>
        <v>24860.94</v>
      </c>
      <c r="O362" s="27">
        <f t="shared" si="57"/>
        <v>24148.48</v>
      </c>
      <c r="P362" s="27">
        <f t="shared" si="58"/>
        <v>712.46</v>
      </c>
      <c r="Q362" s="28">
        <f t="shared" si="59"/>
        <v>64545.110000002358</v>
      </c>
      <c r="R362" s="8"/>
      <c r="S362" s="29">
        <f t="shared" si="53"/>
        <v>0</v>
      </c>
      <c r="T362" s="29"/>
    </row>
    <row r="363" spans="1:20" x14ac:dyDescent="0.25">
      <c r="A363" s="8"/>
      <c r="B363" s="36"/>
      <c r="C363" s="8"/>
      <c r="D363" s="8"/>
      <c r="E363" s="8"/>
      <c r="F363" s="24">
        <f t="shared" si="51"/>
        <v>365</v>
      </c>
      <c r="G363" s="25">
        <v>359</v>
      </c>
      <c r="H363" s="26">
        <f t="shared" si="52"/>
        <v>55870</v>
      </c>
      <c r="I363" s="26">
        <f t="shared" si="54"/>
        <v>55901</v>
      </c>
      <c r="J363" s="25">
        <f t="shared" si="50"/>
        <v>30</v>
      </c>
      <c r="K363" s="4"/>
      <c r="L363" s="5"/>
      <c r="M363" s="27">
        <f t="shared" si="55"/>
        <v>64545.110000002358</v>
      </c>
      <c r="N363" s="27">
        <f t="shared" si="56"/>
        <v>24860.94</v>
      </c>
      <c r="O363" s="27">
        <f t="shared" si="57"/>
        <v>24323.71</v>
      </c>
      <c r="P363" s="27">
        <f t="shared" si="58"/>
        <v>537.23</v>
      </c>
      <c r="Q363" s="28">
        <f t="shared" si="59"/>
        <v>40221.400000002359</v>
      </c>
      <c r="R363" s="8"/>
      <c r="S363" s="29">
        <f t="shared" si="53"/>
        <v>0</v>
      </c>
      <c r="T363" s="29"/>
    </row>
    <row r="364" spans="1:20" ht="15.75" thickBot="1" x14ac:dyDescent="0.3">
      <c r="A364" s="8"/>
      <c r="B364" s="36"/>
      <c r="C364" s="8"/>
      <c r="D364" s="8"/>
      <c r="E364" s="8"/>
      <c r="F364" s="37">
        <f t="shared" si="51"/>
        <v>365</v>
      </c>
      <c r="G364" s="38">
        <v>360</v>
      </c>
      <c r="H364" s="39">
        <f t="shared" si="52"/>
        <v>55901</v>
      </c>
      <c r="I364" s="39">
        <f t="shared" si="54"/>
        <v>55932</v>
      </c>
      <c r="J364" s="38">
        <f t="shared" si="50"/>
        <v>30</v>
      </c>
      <c r="K364" s="6"/>
      <c r="L364" s="7"/>
      <c r="M364" s="40">
        <f t="shared" si="55"/>
        <v>40221.400000002359</v>
      </c>
      <c r="N364" s="40">
        <f t="shared" si="56"/>
        <v>24860.94</v>
      </c>
      <c r="O364" s="40">
        <f t="shared" si="57"/>
        <v>24526.17</v>
      </c>
      <c r="P364" s="40">
        <f t="shared" si="58"/>
        <v>334.77</v>
      </c>
      <c r="Q364" s="41">
        <f t="shared" si="59"/>
        <v>15695.230000002361</v>
      </c>
      <c r="R364" s="8"/>
      <c r="S364" s="29">
        <f t="shared" si="53"/>
        <v>0</v>
      </c>
      <c r="T364" s="29"/>
    </row>
    <row r="365" spans="1:20" x14ac:dyDescent="0.25">
      <c r="A365" s="8"/>
      <c r="B365" s="36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spans="1:20" hidden="1" x14ac:dyDescent="0.25">
      <c r="B366" s="29"/>
    </row>
    <row r="367" spans="1:20" hidden="1" x14ac:dyDescent="0.25">
      <c r="B367" s="29"/>
    </row>
    <row r="368" spans="1:20" hidden="1" x14ac:dyDescent="0.25">
      <c r="B368" s="29"/>
    </row>
    <row r="369" spans="2:2" hidden="1" x14ac:dyDescent="0.25">
      <c r="B369" s="29"/>
    </row>
    <row r="370" spans="2:2" hidden="1" x14ac:dyDescent="0.25">
      <c r="B370" s="29"/>
    </row>
    <row r="371" spans="2:2" hidden="1" x14ac:dyDescent="0.25">
      <c r="B371" s="29"/>
    </row>
    <row r="372" spans="2:2" hidden="1" x14ac:dyDescent="0.25">
      <c r="B372" s="29"/>
    </row>
    <row r="373" spans="2:2" hidden="1" x14ac:dyDescent="0.25">
      <c r="B373" s="29"/>
    </row>
    <row r="374" spans="2:2" hidden="1" x14ac:dyDescent="0.25">
      <c r="B374" s="29"/>
    </row>
    <row r="375" spans="2:2" hidden="1" x14ac:dyDescent="0.25">
      <c r="B375" s="29"/>
    </row>
    <row r="376" spans="2:2" hidden="1" x14ac:dyDescent="0.25">
      <c r="B376" s="29"/>
    </row>
    <row r="377" spans="2:2" hidden="1" x14ac:dyDescent="0.25">
      <c r="B377" s="29"/>
    </row>
  </sheetData>
  <sheetProtection password="DCBF" sheet="1" objects="1" scenarios="1"/>
  <mergeCells count="3">
    <mergeCell ref="B22:C24"/>
    <mergeCell ref="K2:L2"/>
    <mergeCell ref="M2:Q2"/>
  </mergeCells>
  <conditionalFormatting sqref="N5">
    <cfRule type="expression" dxfId="91" priority="97">
      <formula>S5=1</formula>
    </cfRule>
  </conditionalFormatting>
  <conditionalFormatting sqref="N6">
    <cfRule type="expression" dxfId="90" priority="92">
      <formula>S6=1</formula>
    </cfRule>
  </conditionalFormatting>
  <conditionalFormatting sqref="N7">
    <cfRule type="expression" dxfId="89" priority="91">
      <formula>S7=1</formula>
    </cfRule>
  </conditionalFormatting>
  <conditionalFormatting sqref="N8">
    <cfRule type="expression" dxfId="88" priority="90">
      <formula>S8=1</formula>
    </cfRule>
  </conditionalFormatting>
  <conditionalFormatting sqref="N9">
    <cfRule type="expression" dxfId="87" priority="89">
      <formula>S9=1</formula>
    </cfRule>
  </conditionalFormatting>
  <conditionalFormatting sqref="N10">
    <cfRule type="expression" dxfId="86" priority="88">
      <formula>S10=1</formula>
    </cfRule>
  </conditionalFormatting>
  <conditionalFormatting sqref="N11">
    <cfRule type="expression" dxfId="85" priority="87">
      <formula>S11=1</formula>
    </cfRule>
  </conditionalFormatting>
  <conditionalFormatting sqref="N12">
    <cfRule type="expression" dxfId="84" priority="86">
      <formula>S12=1</formula>
    </cfRule>
  </conditionalFormatting>
  <conditionalFormatting sqref="N13">
    <cfRule type="expression" dxfId="83" priority="85">
      <formula>S13=1</formula>
    </cfRule>
  </conditionalFormatting>
  <conditionalFormatting sqref="N14">
    <cfRule type="expression" dxfId="82" priority="84">
      <formula>S14=1</formula>
    </cfRule>
  </conditionalFormatting>
  <conditionalFormatting sqref="N15">
    <cfRule type="expression" dxfId="81" priority="83">
      <formula>S15=1</formula>
    </cfRule>
  </conditionalFormatting>
  <conditionalFormatting sqref="N16">
    <cfRule type="expression" dxfId="80" priority="82">
      <formula>S16=1</formula>
    </cfRule>
  </conditionalFormatting>
  <conditionalFormatting sqref="N17">
    <cfRule type="expression" dxfId="79" priority="81">
      <formula>S17=1</formula>
    </cfRule>
  </conditionalFormatting>
  <conditionalFormatting sqref="N18">
    <cfRule type="expression" dxfId="78" priority="80">
      <formula>S18=1</formula>
    </cfRule>
  </conditionalFormatting>
  <conditionalFormatting sqref="N19">
    <cfRule type="expression" dxfId="77" priority="79">
      <formula>S19=1</formula>
    </cfRule>
  </conditionalFormatting>
  <conditionalFormatting sqref="N20">
    <cfRule type="expression" dxfId="76" priority="78">
      <formula>S20=1</formula>
    </cfRule>
  </conditionalFormatting>
  <conditionalFormatting sqref="N21">
    <cfRule type="expression" dxfId="75" priority="77">
      <formula>S21=1</formula>
    </cfRule>
  </conditionalFormatting>
  <conditionalFormatting sqref="N22">
    <cfRule type="expression" dxfId="74" priority="76">
      <formula>S22=1</formula>
    </cfRule>
  </conditionalFormatting>
  <conditionalFormatting sqref="N23">
    <cfRule type="expression" dxfId="73" priority="75">
      <formula>S23=1</formula>
    </cfRule>
  </conditionalFormatting>
  <conditionalFormatting sqref="N24">
    <cfRule type="expression" dxfId="72" priority="74">
      <formula>S24=1</formula>
    </cfRule>
  </conditionalFormatting>
  <conditionalFormatting sqref="N25">
    <cfRule type="expression" dxfId="71" priority="73">
      <formula>S25=1</formula>
    </cfRule>
  </conditionalFormatting>
  <conditionalFormatting sqref="N26">
    <cfRule type="expression" dxfId="70" priority="72">
      <formula>S26=1</formula>
    </cfRule>
  </conditionalFormatting>
  <conditionalFormatting sqref="N27">
    <cfRule type="expression" dxfId="69" priority="71">
      <formula>S27=1</formula>
    </cfRule>
  </conditionalFormatting>
  <conditionalFormatting sqref="N28">
    <cfRule type="expression" dxfId="68" priority="70">
      <formula>S28=1</formula>
    </cfRule>
  </conditionalFormatting>
  <conditionalFormatting sqref="N29">
    <cfRule type="expression" dxfId="67" priority="69">
      <formula>S29=1</formula>
    </cfRule>
  </conditionalFormatting>
  <conditionalFormatting sqref="N30">
    <cfRule type="expression" dxfId="66" priority="68">
      <formula>S30=1</formula>
    </cfRule>
  </conditionalFormatting>
  <conditionalFormatting sqref="N31">
    <cfRule type="expression" dxfId="65" priority="67">
      <formula>S31=1</formula>
    </cfRule>
  </conditionalFormatting>
  <conditionalFormatting sqref="N32">
    <cfRule type="expression" dxfId="64" priority="66">
      <formula>S32=1</formula>
    </cfRule>
  </conditionalFormatting>
  <conditionalFormatting sqref="N33">
    <cfRule type="expression" dxfId="63" priority="65">
      <formula>S33=1</formula>
    </cfRule>
  </conditionalFormatting>
  <conditionalFormatting sqref="N34">
    <cfRule type="expression" dxfId="62" priority="64">
      <formula>S34=1</formula>
    </cfRule>
  </conditionalFormatting>
  <conditionalFormatting sqref="N35">
    <cfRule type="expression" dxfId="61" priority="63">
      <formula>S35=1</formula>
    </cfRule>
  </conditionalFormatting>
  <conditionalFormatting sqref="N36">
    <cfRule type="expression" dxfId="60" priority="62">
      <formula>S36=1</formula>
    </cfRule>
  </conditionalFormatting>
  <conditionalFormatting sqref="N37">
    <cfRule type="expression" dxfId="59" priority="61">
      <formula>S37=1</formula>
    </cfRule>
  </conditionalFormatting>
  <conditionalFormatting sqref="N38">
    <cfRule type="expression" dxfId="58" priority="60">
      <formula>S38=1</formula>
    </cfRule>
  </conditionalFormatting>
  <conditionalFormatting sqref="N39">
    <cfRule type="expression" dxfId="57" priority="59">
      <formula>S39=1</formula>
    </cfRule>
  </conditionalFormatting>
  <conditionalFormatting sqref="N40">
    <cfRule type="expression" dxfId="56" priority="58">
      <formula>S40=1</formula>
    </cfRule>
  </conditionalFormatting>
  <conditionalFormatting sqref="N41">
    <cfRule type="expression" dxfId="55" priority="57">
      <formula>S41=1</formula>
    </cfRule>
  </conditionalFormatting>
  <conditionalFormatting sqref="N42">
    <cfRule type="expression" dxfId="54" priority="56">
      <formula>S42=1</formula>
    </cfRule>
  </conditionalFormatting>
  <conditionalFormatting sqref="N43">
    <cfRule type="expression" dxfId="53" priority="55">
      <formula>S43=1</formula>
    </cfRule>
  </conditionalFormatting>
  <conditionalFormatting sqref="N44">
    <cfRule type="expression" dxfId="52" priority="54">
      <formula>S44=1</formula>
    </cfRule>
  </conditionalFormatting>
  <conditionalFormatting sqref="N45">
    <cfRule type="expression" dxfId="51" priority="53">
      <formula>S45=1</formula>
    </cfRule>
  </conditionalFormatting>
  <conditionalFormatting sqref="N46">
    <cfRule type="expression" dxfId="50" priority="52">
      <formula>S46=1</formula>
    </cfRule>
  </conditionalFormatting>
  <conditionalFormatting sqref="N47">
    <cfRule type="expression" dxfId="49" priority="51">
      <formula>S47=1</formula>
    </cfRule>
  </conditionalFormatting>
  <conditionalFormatting sqref="N48">
    <cfRule type="expression" dxfId="48" priority="50">
      <formula>S48=1</formula>
    </cfRule>
  </conditionalFormatting>
  <conditionalFormatting sqref="N49">
    <cfRule type="expression" dxfId="47" priority="49">
      <formula>S49=1</formula>
    </cfRule>
  </conditionalFormatting>
  <conditionalFormatting sqref="N50">
    <cfRule type="expression" dxfId="46" priority="48">
      <formula>S50=1</formula>
    </cfRule>
  </conditionalFormatting>
  <conditionalFormatting sqref="N51">
    <cfRule type="expression" dxfId="45" priority="47">
      <formula>S51=1</formula>
    </cfRule>
  </conditionalFormatting>
  <conditionalFormatting sqref="N52">
    <cfRule type="expression" dxfId="44" priority="46">
      <formula>S52=1</formula>
    </cfRule>
  </conditionalFormatting>
  <conditionalFormatting sqref="N53">
    <cfRule type="expression" dxfId="43" priority="45">
      <formula>S53=1</formula>
    </cfRule>
  </conditionalFormatting>
  <conditionalFormatting sqref="N54">
    <cfRule type="expression" dxfId="42" priority="44">
      <formula>S54=1</formula>
    </cfRule>
  </conditionalFormatting>
  <conditionalFormatting sqref="N55">
    <cfRule type="expression" dxfId="41" priority="43">
      <formula>S55=1</formula>
    </cfRule>
  </conditionalFormatting>
  <conditionalFormatting sqref="N56">
    <cfRule type="expression" dxfId="40" priority="42">
      <formula>S56=1</formula>
    </cfRule>
  </conditionalFormatting>
  <conditionalFormatting sqref="N57">
    <cfRule type="expression" dxfId="39" priority="41">
      <formula>S57=1</formula>
    </cfRule>
  </conditionalFormatting>
  <conditionalFormatting sqref="N58">
    <cfRule type="expression" dxfId="38" priority="40">
      <formula>S58=1</formula>
    </cfRule>
  </conditionalFormatting>
  <conditionalFormatting sqref="N59">
    <cfRule type="expression" dxfId="37" priority="39">
      <formula>S59=1</formula>
    </cfRule>
  </conditionalFormatting>
  <conditionalFormatting sqref="N60">
    <cfRule type="expression" dxfId="36" priority="38">
      <formula>S60=1</formula>
    </cfRule>
  </conditionalFormatting>
  <conditionalFormatting sqref="N61">
    <cfRule type="expression" dxfId="35" priority="37">
      <formula>S61=1</formula>
    </cfRule>
  </conditionalFormatting>
  <conditionalFormatting sqref="N62">
    <cfRule type="expression" dxfId="34" priority="36">
      <formula>S62=1</formula>
    </cfRule>
  </conditionalFormatting>
  <conditionalFormatting sqref="N63">
    <cfRule type="expression" dxfId="33" priority="35">
      <formula>S63=1</formula>
    </cfRule>
  </conditionalFormatting>
  <conditionalFormatting sqref="N64">
    <cfRule type="expression" dxfId="32" priority="34">
      <formula>S64=1</formula>
    </cfRule>
  </conditionalFormatting>
  <conditionalFormatting sqref="N65">
    <cfRule type="expression" dxfId="31" priority="33">
      <formula>S65=1</formula>
    </cfRule>
  </conditionalFormatting>
  <conditionalFormatting sqref="N66">
    <cfRule type="expression" dxfId="30" priority="32">
      <formula>S66=1</formula>
    </cfRule>
  </conditionalFormatting>
  <conditionalFormatting sqref="N67">
    <cfRule type="expression" dxfId="29" priority="31">
      <formula>S67=1</formula>
    </cfRule>
  </conditionalFormatting>
  <conditionalFormatting sqref="N68">
    <cfRule type="expression" dxfId="28" priority="30">
      <formula>S68=1</formula>
    </cfRule>
  </conditionalFormatting>
  <conditionalFormatting sqref="N69">
    <cfRule type="expression" dxfId="27" priority="29">
      <formula>S69=1</formula>
    </cfRule>
  </conditionalFormatting>
  <conditionalFormatting sqref="N70">
    <cfRule type="expression" dxfId="26" priority="28">
      <formula>S70=1</formula>
    </cfRule>
  </conditionalFormatting>
  <conditionalFormatting sqref="N71">
    <cfRule type="expression" dxfId="25" priority="27">
      <formula>S71=1</formula>
    </cfRule>
  </conditionalFormatting>
  <conditionalFormatting sqref="N72">
    <cfRule type="expression" dxfId="24" priority="26">
      <formula>S72=1</formula>
    </cfRule>
  </conditionalFormatting>
  <conditionalFormatting sqref="N73">
    <cfRule type="expression" dxfId="23" priority="25">
      <formula>S73=1</formula>
    </cfRule>
  </conditionalFormatting>
  <conditionalFormatting sqref="N74">
    <cfRule type="expression" dxfId="22" priority="24">
      <formula>S74=1</formula>
    </cfRule>
  </conditionalFormatting>
  <conditionalFormatting sqref="N75">
    <cfRule type="expression" dxfId="21" priority="23">
      <formula>S75=1</formula>
    </cfRule>
  </conditionalFormatting>
  <conditionalFormatting sqref="N76">
    <cfRule type="expression" dxfId="20" priority="22">
      <formula>S76=1</formula>
    </cfRule>
  </conditionalFormatting>
  <conditionalFormatting sqref="N77">
    <cfRule type="expression" dxfId="19" priority="21">
      <formula>S77=1</formula>
    </cfRule>
  </conditionalFormatting>
  <conditionalFormatting sqref="N78">
    <cfRule type="expression" dxfId="18" priority="20">
      <formula>S78=1</formula>
    </cfRule>
  </conditionalFormatting>
  <conditionalFormatting sqref="N79">
    <cfRule type="expression" dxfId="17" priority="19">
      <formula>S79=1</formula>
    </cfRule>
  </conditionalFormatting>
  <conditionalFormatting sqref="N80">
    <cfRule type="expression" dxfId="16" priority="18">
      <formula>S80=1</formula>
    </cfRule>
  </conditionalFormatting>
  <conditionalFormatting sqref="N81">
    <cfRule type="expression" dxfId="15" priority="17">
      <formula>S81=1</formula>
    </cfRule>
  </conditionalFormatting>
  <conditionalFormatting sqref="N82">
    <cfRule type="expression" dxfId="14" priority="16">
      <formula>S82=1</formula>
    </cfRule>
  </conditionalFormatting>
  <conditionalFormatting sqref="N83">
    <cfRule type="expression" dxfId="13" priority="15">
      <formula>S83=1</formula>
    </cfRule>
  </conditionalFormatting>
  <conditionalFormatting sqref="N84">
    <cfRule type="expression" dxfId="12" priority="14">
      <formula>S84=1</formula>
    </cfRule>
  </conditionalFormatting>
  <conditionalFormatting sqref="N85">
    <cfRule type="expression" dxfId="11" priority="13">
      <formula>S85=1</formula>
    </cfRule>
  </conditionalFormatting>
  <conditionalFormatting sqref="N86">
    <cfRule type="expression" dxfId="10" priority="12">
      <formula>S86=1</formula>
    </cfRule>
  </conditionalFormatting>
  <conditionalFormatting sqref="N87">
    <cfRule type="expression" dxfId="9" priority="11">
      <formula>S87=1</formula>
    </cfRule>
  </conditionalFormatting>
  <conditionalFormatting sqref="N88">
    <cfRule type="expression" dxfId="8" priority="10">
      <formula>S88=1</formula>
    </cfRule>
  </conditionalFormatting>
  <conditionalFormatting sqref="N89">
    <cfRule type="expression" dxfId="7" priority="9">
      <formula>S89=1</formula>
    </cfRule>
  </conditionalFormatting>
  <conditionalFormatting sqref="N90">
    <cfRule type="expression" dxfId="6" priority="8">
      <formula>S90=1</formula>
    </cfRule>
  </conditionalFormatting>
  <conditionalFormatting sqref="N91">
    <cfRule type="expression" dxfId="5" priority="7">
      <formula>S91=1</formula>
    </cfRule>
  </conditionalFormatting>
  <conditionalFormatting sqref="N92">
    <cfRule type="expression" dxfId="4" priority="6">
      <formula>S92=1</formula>
    </cfRule>
  </conditionalFormatting>
  <conditionalFormatting sqref="N93">
    <cfRule type="expression" dxfId="3" priority="5">
      <formula>S93=1</formula>
    </cfRule>
  </conditionalFormatting>
  <conditionalFormatting sqref="N94">
    <cfRule type="expression" dxfId="2" priority="4">
      <formula>S94=1</formula>
    </cfRule>
  </conditionalFormatting>
  <conditionalFormatting sqref="N95">
    <cfRule type="expression" dxfId="1" priority="3">
      <formula>S95=1</formula>
    </cfRule>
  </conditionalFormatting>
  <conditionalFormatting sqref="N96:N364">
    <cfRule type="expression" dxfId="0" priority="1">
      <formula>S96=1</formula>
    </cfRule>
  </conditionalFormatting>
  <dataValidations count="1">
    <dataValidation type="list" allowBlank="1" showInputMessage="1" showErrorMessage="1" sqref="K5:K364" xr:uid="{00000000-0002-0000-0000-000000000000}">
      <formula1>$V$4:$V$6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bd5b5c17-ff0e-4a45-8ade-b1db9e1fb804">
  <element uid="id_classification_internalonly" value=""/>
</sisl>
</file>

<file path=customXml/itemProps1.xml><?xml version="1.0" encoding="utf-8"?>
<ds:datastoreItem xmlns:ds="http://schemas.openxmlformats.org/officeDocument/2006/customXml" ds:itemID="{2514815F-0CE3-4298-8994-D4F2E89FD9C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calc</vt:lpstr>
    </vt:vector>
  </TitlesOfParts>
  <Company>AHML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Лесников Кирилл Сергеевич</dc:creator>
  <cp:lastModifiedBy>Андрей Строгонов</cp:lastModifiedBy>
  <cp:lastPrinted>2013-11-22T12:02:38Z</cp:lastPrinted>
  <dcterms:created xsi:type="dcterms:W3CDTF">2013-05-21T11:07:59Z</dcterms:created>
  <dcterms:modified xsi:type="dcterms:W3CDTF">2026-02-19T20:36:44Z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3a50a928-c1dc-46f6-bc1b-c3bb1044fbc0</vt:lpwstr>
  </property>
  <property fmtid="{D5CDD505-2E9C-101B-9397-08002B2CF9AE}" pid="3" name="bjSaver">
    <vt:lpwstr>PbFmR0vjFLMuSYU75oBVtj2ZYSD2AtaY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policy="bd5b5c17-ff0e-4a45-8ade-b1db9e1fb804" xmlns="http://www.boldonjames.com/2008/01/sie/i</vt:lpwstr>
  </property>
  <property fmtid="{D5CDD505-2E9C-101B-9397-08002B2CF9AE}" pid="5" name="bjDocumentLabelXML-0">
    <vt:lpwstr>nternal/label"&gt;&lt;element uid="id_classification_internalonly" value="" /&gt;&lt;/sisl&gt;</vt:lpwstr>
  </property>
  <property fmtid="{D5CDD505-2E9C-101B-9397-08002B2CF9AE}" pid="6" name="bjDocumentSecurityLabel">
    <vt:lpwstr>Для внутреннего пользования (C1 - Internal)</vt:lpwstr>
  </property>
</Properties>
</file>