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шборд" sheetId="1" r:id="rId3"/>
    <sheet state="visible" name="Повседневные" sheetId="2" r:id="rId4"/>
    <sheet state="visible" name="Крупные" sheetId="3" r:id="rId5"/>
    <sheet state="visible" name="Квартира" sheetId="4" r:id="rId6"/>
    <sheet state="visible" name="Справочники" sheetId="5" r:id="rId7"/>
  </sheets>
  <definedNames>
    <definedName name="Транспорт">'Справочники'!$C$2:$J$2</definedName>
    <definedName name="Подарки">'Справочники'!$C$6:$J$6</definedName>
    <definedName name="Продукты">'Справочники'!$C$7:$J$7</definedName>
    <definedName name="Рестораны">'Справочники'!$C$4:$J$4</definedName>
    <definedName name="Алкоголь">'Справочники'!$C$5:$J$5</definedName>
    <definedName name="Еда">'Справочники'!$C$3:$J$3</definedName>
    <definedName hidden="1" localSheetId="1" name="_xlnm._FilterDatabase">'Повседневные'!$A$1:$Q$1950</definedName>
  </definedNames>
  <calcPr/>
  <pivotCaches>
    <pivotCache cacheId="0" r:id="rId8"/>
  </pivotCaches>
</workbook>
</file>

<file path=xl/sharedStrings.xml><?xml version="1.0" encoding="utf-8"?>
<sst xmlns="http://schemas.openxmlformats.org/spreadsheetml/2006/main" count="4418" uniqueCount="292">
  <si>
    <t>Последние расходы внесены</t>
  </si>
  <si>
    <t>Средний расход за текущий месяц</t>
  </si>
  <si>
    <t>Лимит расхода в день</t>
  </si>
  <si>
    <t>Категория</t>
  </si>
  <si>
    <t>SUM</t>
  </si>
  <si>
    <t>%</t>
  </si>
  <si>
    <t>AVG в месяц</t>
  </si>
  <si>
    <t>Месяц</t>
  </si>
  <si>
    <t>Повседневные</t>
  </si>
  <si>
    <t>В день</t>
  </si>
  <si>
    <t>Крупные</t>
  </si>
  <si>
    <t>Квартира</t>
  </si>
  <si>
    <t>Итого</t>
  </si>
  <si>
    <t>Итого Повседневные</t>
  </si>
  <si>
    <t>руб.</t>
  </si>
  <si>
    <t>Еда</t>
  </si>
  <si>
    <t>Январь</t>
  </si>
  <si>
    <t>Итого Крупные</t>
  </si>
  <si>
    <t>Подарки</t>
  </si>
  <si>
    <t>Февраль</t>
  </si>
  <si>
    <t>Итого Квартира</t>
  </si>
  <si>
    <t>Алкоголь</t>
  </si>
  <si>
    <t>Март</t>
  </si>
  <si>
    <t>Итого все расхолы</t>
  </si>
  <si>
    <t>Транспорт</t>
  </si>
  <si>
    <t>Апрель</t>
  </si>
  <si>
    <t>Продукты</t>
  </si>
  <si>
    <t>Май</t>
  </si>
  <si>
    <t>Дней прошло</t>
  </si>
  <si>
    <t>дней</t>
  </si>
  <si>
    <t>Рестораны</t>
  </si>
  <si>
    <t>→</t>
  </si>
  <si>
    <t>Июнь</t>
  </si>
  <si>
    <t>из них без трат</t>
  </si>
  <si>
    <t>Одежда</t>
  </si>
  <si>
    <t>Июль</t>
  </si>
  <si>
    <t>Средний расход за день</t>
  </si>
  <si>
    <t>Здоровье, красота, гигиена</t>
  </si>
  <si>
    <t>Август</t>
  </si>
  <si>
    <t>Средний расход в месяц</t>
  </si>
  <si>
    <t>Кино, театры, музеи</t>
  </si>
  <si>
    <t>Сентябрь</t>
  </si>
  <si>
    <t>с учетом крупных расходов</t>
  </si>
  <si>
    <t>Связь</t>
  </si>
  <si>
    <t>Октябрь</t>
  </si>
  <si>
    <t>с учетом всех расходов</t>
  </si>
  <si>
    <t>Прочее</t>
  </si>
  <si>
    <t>Ноябрь</t>
  </si>
  <si>
    <t>Творчество, книги, обучение</t>
  </si>
  <si>
    <t>Декабрь</t>
  </si>
  <si>
    <t>Год 1</t>
  </si>
  <si>
    <t>Распределение Повседневных расходов по дням недели</t>
  </si>
  <si>
    <t>День недели</t>
  </si>
  <si>
    <t>Всего (руб.)</t>
  </si>
  <si>
    <t>Аллокация на день</t>
  </si>
  <si>
    <t>ПН</t>
  </si>
  <si>
    <t>ВТ</t>
  </si>
  <si>
    <t>СР</t>
  </si>
  <si>
    <t>ЧТ</t>
  </si>
  <si>
    <t>ПТ</t>
  </si>
  <si>
    <t>СБ</t>
  </si>
  <si>
    <t>ВС</t>
  </si>
  <si>
    <t>Будни</t>
  </si>
  <si>
    <t>Выходные</t>
  </si>
  <si>
    <t>Примечание: С каждым новыс месяцем данная таблица будет расширяться вправо на один столбец</t>
  </si>
  <si>
    <t>Повседневные расходы</t>
  </si>
  <si>
    <t>SUM из Стоимость</t>
  </si>
  <si>
    <t>Month</t>
  </si>
  <si>
    <t>Сюда нужно будет протягивать формулы по мере увеличения месяце в сводной таблице выше</t>
  </si>
  <si>
    <t>Коэффициент трат в месяц</t>
  </si>
  <si>
    <t>Средний расход накоп. итогом</t>
  </si>
  <si>
    <t>Крупные расходы</t>
  </si>
  <si>
    <t>Итого в месяц</t>
  </si>
  <si>
    <t>DW</t>
  </si>
  <si>
    <t>Дата</t>
  </si>
  <si>
    <t>Наименование</t>
  </si>
  <si>
    <t>Подкатегория</t>
  </si>
  <si>
    <t>Стоимость</t>
  </si>
  <si>
    <t>Комментарий</t>
  </si>
  <si>
    <t>Автоматический список подкатегорий. Заполняется при выборе основной категории.</t>
  </si>
  <si>
    <t>Такси</t>
  </si>
  <si>
    <t>Автобус</t>
  </si>
  <si>
    <t>Метро</t>
  </si>
  <si>
    <t>Электричка</t>
  </si>
  <si>
    <t>Другой транспорт</t>
  </si>
  <si>
    <t>Пиво в баре</t>
  </si>
  <si>
    <t>Бар</t>
  </si>
  <si>
    <t>Ресторан</t>
  </si>
  <si>
    <t>Бургерная</t>
  </si>
  <si>
    <t>Доставка</t>
  </si>
  <si>
    <t>Кальянная</t>
  </si>
  <si>
    <t>Обед</t>
  </si>
  <si>
    <t>Еда вне работы</t>
  </si>
  <si>
    <t>Перекус</t>
  </si>
  <si>
    <t>Фаст-Фуд</t>
  </si>
  <si>
    <t>Сладости</t>
  </si>
  <si>
    <t>Пиво и пицца</t>
  </si>
  <si>
    <t>Пиво</t>
  </si>
  <si>
    <t>Сидр</t>
  </si>
  <si>
    <t>Крепкое</t>
  </si>
  <si>
    <t>Закуски</t>
  </si>
  <si>
    <t>Макдоналдс</t>
  </si>
  <si>
    <t>Вино</t>
  </si>
  <si>
    <t>Пиво и креветки</t>
  </si>
  <si>
    <t>Для бритья</t>
  </si>
  <si>
    <t>Вода</t>
  </si>
  <si>
    <t>Ресторан Питер</t>
  </si>
  <si>
    <t>Пушкинский музей</t>
  </si>
  <si>
    <t>Квест</t>
  </si>
  <si>
    <t>Блэк стар бургер</t>
  </si>
  <si>
    <t>Фаст-фуд</t>
  </si>
  <si>
    <t>Кино + вода</t>
  </si>
  <si>
    <t>Шоколадка</t>
  </si>
  <si>
    <t>Домой</t>
  </si>
  <si>
    <t>Коллеге</t>
  </si>
  <si>
    <t>Работа</t>
  </si>
  <si>
    <t>Друзья</t>
  </si>
  <si>
    <t>Обед (работа)</t>
  </si>
  <si>
    <t>Apple music</t>
  </si>
  <si>
    <t>Сестре</t>
  </si>
  <si>
    <t>Родственники</t>
  </si>
  <si>
    <t>Дима</t>
  </si>
  <si>
    <t>Жевачка</t>
  </si>
  <si>
    <t>Печеньки</t>
  </si>
  <si>
    <t>Нет расходов</t>
  </si>
  <si>
    <t>1 180</t>
  </si>
  <si>
    <t>Еда домой</t>
  </si>
  <si>
    <t>Квиз</t>
  </si>
  <si>
    <t>1 300</t>
  </si>
  <si>
    <t>Якитория</t>
  </si>
  <si>
    <t>1 827</t>
  </si>
  <si>
    <t>Сладости на работу</t>
  </si>
  <si>
    <t>Кола и сладости</t>
  </si>
  <si>
    <t>На работе</t>
  </si>
  <si>
    <t>1 400</t>
  </si>
  <si>
    <t>Подарок</t>
  </si>
  <si>
    <t>Шапспанское</t>
  </si>
  <si>
    <t>Бокал</t>
  </si>
  <si>
    <t>Тройка</t>
  </si>
  <si>
    <t>Шоколадница</t>
  </si>
  <si>
    <t>Цветы</t>
  </si>
  <si>
    <t>5 000</t>
  </si>
  <si>
    <t>Сертификат</t>
  </si>
  <si>
    <t>13 350</t>
  </si>
  <si>
    <t>Закусочки</t>
  </si>
  <si>
    <t>1 366</t>
  </si>
  <si>
    <t>Пицца</t>
  </si>
  <si>
    <t>1 600</t>
  </si>
  <si>
    <t>Учителям</t>
  </si>
  <si>
    <t>1 585</t>
  </si>
  <si>
    <t>Врачи</t>
  </si>
  <si>
    <t>4 000</t>
  </si>
  <si>
    <t>Лекарства</t>
  </si>
  <si>
    <t>2 812</t>
  </si>
  <si>
    <t>Аптека</t>
  </si>
  <si>
    <t>Ред булл</t>
  </si>
  <si>
    <t>1 552</t>
  </si>
  <si>
    <t>1 144</t>
  </si>
  <si>
    <t>Бургеры</t>
  </si>
  <si>
    <t>Стрижка</t>
  </si>
  <si>
    <t>ФАРШ</t>
  </si>
  <si>
    <t>2 404</t>
  </si>
  <si>
    <t>1 200</t>
  </si>
  <si>
    <t>1 000</t>
  </si>
  <si>
    <t>Дженга</t>
  </si>
  <si>
    <t>1 290</t>
  </si>
  <si>
    <t xml:space="preserve">Кофе </t>
  </si>
  <si>
    <t>Кино</t>
  </si>
  <si>
    <t>1 338,</t>
  </si>
  <si>
    <t>Подарки 23</t>
  </si>
  <si>
    <t>2 707</t>
  </si>
  <si>
    <t>Коньяк</t>
  </si>
  <si>
    <t>2 182</t>
  </si>
  <si>
    <t>Ягоды</t>
  </si>
  <si>
    <t>KFC</t>
  </si>
  <si>
    <t>Бургер Кинг</t>
  </si>
  <si>
    <t>На подарок 8 марта</t>
  </si>
  <si>
    <t>2 000</t>
  </si>
  <si>
    <t>Быт химия</t>
  </si>
  <si>
    <t>1 055</t>
  </si>
  <si>
    <t>Попкорн</t>
  </si>
  <si>
    <t>Интернет</t>
  </si>
  <si>
    <t>Шампанское</t>
  </si>
  <si>
    <t>Вкусняхи</t>
  </si>
  <si>
    <t>Носки</t>
  </si>
  <si>
    <t>Дезодорант</t>
  </si>
  <si>
    <t>1 436</t>
  </si>
  <si>
    <t>Сладости домой</t>
  </si>
  <si>
    <t>Бургер Хероус</t>
  </si>
  <si>
    <t>Телефон</t>
  </si>
  <si>
    <t>Брату</t>
  </si>
  <si>
    <t>1 258</t>
  </si>
  <si>
    <t>Подарки 8 марта</t>
  </si>
  <si>
    <t>1 390</t>
  </si>
  <si>
    <t>2 500</t>
  </si>
  <si>
    <t>4 лапы</t>
  </si>
  <si>
    <t>Гель для волос</t>
  </si>
  <si>
    <t>2 270</t>
  </si>
  <si>
    <t>Кальян</t>
  </si>
  <si>
    <t>3 500</t>
  </si>
  <si>
    <t>Попкорн и газировка</t>
  </si>
  <si>
    <t>Протеин</t>
  </si>
  <si>
    <t>Шнурки</t>
  </si>
  <si>
    <t>Парковка</t>
  </si>
  <si>
    <t>Суп Фо бо</t>
  </si>
  <si>
    <t>Мороженое</t>
  </si>
  <si>
    <t>Ужин</t>
  </si>
  <si>
    <t>Кафе</t>
  </si>
  <si>
    <t>Другу</t>
  </si>
  <si>
    <t>Фото на визу</t>
  </si>
  <si>
    <t>Трусы</t>
  </si>
  <si>
    <t>Духи</t>
  </si>
  <si>
    <t>Тануки</t>
  </si>
  <si>
    <t>Подарок дедушке</t>
  </si>
  <si>
    <t>Спорт пит</t>
  </si>
  <si>
    <t>За доставку</t>
  </si>
  <si>
    <t>Стейки</t>
  </si>
  <si>
    <t>Крафт репаблик</t>
  </si>
  <si>
    <t>Друзьям</t>
  </si>
  <si>
    <t>Кофе на всех</t>
  </si>
  <si>
    <t>Энергетик</t>
  </si>
  <si>
    <t>Книга</t>
  </si>
  <si>
    <t>Кофе</t>
  </si>
  <si>
    <t>Пиво в аэропорту</t>
  </si>
  <si>
    <t>Шоколад</t>
  </si>
  <si>
    <t>Подарок работа</t>
  </si>
  <si>
    <t>Мираторг</t>
  </si>
  <si>
    <t>Ополаскиватель</t>
  </si>
  <si>
    <t>Футболка</t>
  </si>
  <si>
    <t>Кеды</t>
  </si>
  <si>
    <t>Гигиена</t>
  </si>
  <si>
    <t>Для пасты и салата</t>
  </si>
  <si>
    <t>Джинсы</t>
  </si>
  <si>
    <t>Работа подарок</t>
  </si>
  <si>
    <t>Вино и сыр</t>
  </si>
  <si>
    <t>Хоз товары домой</t>
  </si>
  <si>
    <t>Подарок Свадьба</t>
  </si>
  <si>
    <t>Таблетки</t>
  </si>
  <si>
    <t>Сладости в дорогу</t>
  </si>
  <si>
    <t>Окко ТВ</t>
  </si>
  <si>
    <t>Пиццерия</t>
  </si>
  <si>
    <t>Завтрак</t>
  </si>
  <si>
    <t>Батончики</t>
  </si>
  <si>
    <t>Мороженное</t>
  </si>
  <si>
    <t>От комаров</t>
  </si>
  <si>
    <t>ДоДо</t>
  </si>
  <si>
    <t>Апероль</t>
  </si>
  <si>
    <t>Шоколадки</t>
  </si>
  <si>
    <t>На ДР другу</t>
  </si>
  <si>
    <t>В кино</t>
  </si>
  <si>
    <t>Лекарствва</t>
  </si>
  <si>
    <t>Eat and Talk</t>
  </si>
  <si>
    <t>Суши</t>
  </si>
  <si>
    <t>Тусовка</t>
  </si>
  <si>
    <t>Парфюм</t>
  </si>
  <si>
    <t>Паб</t>
  </si>
  <si>
    <t>Фарш</t>
  </si>
  <si>
    <t>Плавки</t>
  </si>
  <si>
    <t>Шорты</t>
  </si>
  <si>
    <t>Бритье</t>
  </si>
  <si>
    <t>Сок</t>
  </si>
  <si>
    <t>Перекресток</t>
  </si>
  <si>
    <t>Коктели</t>
  </si>
  <si>
    <t>MM</t>
  </si>
  <si>
    <t>Покупка</t>
  </si>
  <si>
    <t>Сумма</t>
  </si>
  <si>
    <t>Абонемент в спорт зал</t>
  </si>
  <si>
    <t>Пальто</t>
  </si>
  <si>
    <t>Билеты в Берлин</t>
  </si>
  <si>
    <t>Отель в Берлине</t>
  </si>
  <si>
    <t>Курсы английского</t>
  </si>
  <si>
    <t>Билеты в Питер</t>
  </si>
  <si>
    <t>Квартира Питер</t>
  </si>
  <si>
    <t>Кожаная сумка</t>
  </si>
  <si>
    <t>В данной таблице фиксируются все расходы, которые не имеют повседневный характер</t>
  </si>
  <si>
    <t>Категори</t>
  </si>
  <si>
    <t>Описание</t>
  </si>
  <si>
    <t>Ипотека</t>
  </si>
  <si>
    <t>ЖКХ</t>
  </si>
  <si>
    <t>Все для дома</t>
  </si>
  <si>
    <t>Подушки и одеяла</t>
  </si>
  <si>
    <t>Ремонт</t>
  </si>
  <si>
    <t>Входная дверь</t>
  </si>
  <si>
    <t>Прочие расходы</t>
  </si>
  <si>
    <t>Страховка Ипотека</t>
  </si>
  <si>
    <t>Категории повседневных расходов</t>
  </si>
  <si>
    <t>Подкатегории</t>
  </si>
  <si>
    <t>В колонку B добавляем свои категории или переименовываем текущие</t>
  </si>
  <si>
    <t>Напротив каждой категории можно указать до 8 подкатегорий</t>
  </si>
  <si>
    <t>При выборе основной категории на вкладке "Повседневные" список подкатегорий загрузится автоматически</t>
  </si>
  <si>
    <t>Категории расходов на квартиру</t>
  </si>
  <si>
    <t>Дней в году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</si>
</sst>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d.mm.yyyy"/>
  </numFmts>
  <fonts count="18">
    <font>
      <sz val="10.0"/>
      <color rgb="FF000000"/>
      <name val="Arial"/>
    </font>
    <font/>
    <font>
      <b/>
      <sz val="14.0"/>
    </font>
    <font>
      <color rgb="FFFFFFFF"/>
    </font>
    <font>
      <color rgb="FF000000"/>
    </font>
    <font>
      <sz val="11.0"/>
      <color rgb="FF000000"/>
      <name val="Arial"/>
    </font>
    <font>
      <sz val="11.0"/>
      <color rgb="FFFFFFFF"/>
      <name val="Arial"/>
    </font>
    <font>
      <b/>
    </font>
    <font>
      <color rgb="FF1C4587"/>
    </font>
    <font>
      <b/>
      <color rgb="FF000000"/>
    </font>
    <font>
      <b/>
      <sz val="12.0"/>
      <color rgb="FF666666"/>
    </font>
    <font>
      <b/>
      <sz val="11.0"/>
      <color rgb="FF000000"/>
      <name val="Arial"/>
    </font>
    <font>
      <b/>
      <i/>
      <sz val="10.0"/>
      <color rgb="FF000000"/>
      <name val="Arial"/>
    </font>
    <font>
      <sz val="10.0"/>
      <name val="Arial"/>
    </font>
    <font>
      <sz val="10.0"/>
      <color rgb="FF0000FF"/>
      <name val="Arial"/>
    </font>
    <font>
      <b/>
      <i/>
      <sz val="11.0"/>
      <color rgb="FF000000"/>
      <name val="Calibri"/>
    </font>
    <font>
      <sz val="11.0"/>
      <color rgb="FF000000"/>
      <name val="Calibri"/>
    </font>
    <font>
      <b/>
      <i/>
      <sz val="11.0"/>
      <color rgb="FFFFFFFF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5B9BD5"/>
        <bgColor rgb="FF5B9BD5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F3F3F3"/>
        <bgColor rgb="FFF3F3F3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FCE4D6"/>
        <bgColor rgb="FFFCE4D6"/>
      </patternFill>
    </fill>
    <fill>
      <patternFill patternType="solid">
        <fgColor rgb="FF0000FF"/>
        <bgColor rgb="FF0000FF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8E1"/>
        <bgColor rgb="FFFFF8E1"/>
      </patternFill>
    </fill>
  </fills>
  <borders count="10">
    <border/>
    <border>
      <bottom style="thick">
        <color rgb="FF666666"/>
      </bottom>
    </border>
    <border>
      <bottom style="thin">
        <color rgb="FF59595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double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2" numFmtId="3" xfId="0" applyAlignment="1" applyFont="1" applyNumberFormat="1">
      <alignment vertical="center"/>
    </xf>
    <xf borderId="0" fillId="2" fontId="1" numFmtId="0" xfId="0" applyAlignment="1" applyFill="1" applyFont="1">
      <alignment horizontal="center" vertical="center"/>
    </xf>
    <xf borderId="0" fillId="3" fontId="3" numFmtId="0" xfId="0" applyAlignment="1" applyFill="1" applyFont="1">
      <alignment readingOrder="0"/>
    </xf>
    <xf borderId="0" fillId="4" fontId="4" numFmtId="0" xfId="0" applyFill="1" applyFont="1"/>
    <xf borderId="0" fillId="4" fontId="4" numFmtId="0" xfId="0" applyAlignment="1" applyFont="1">
      <alignment horizontal="center"/>
    </xf>
    <xf borderId="1" fillId="4" fontId="4" numFmtId="0" xfId="0" applyAlignment="1" applyBorder="1" applyFont="1">
      <alignment horizontal="center"/>
    </xf>
    <xf borderId="2" fillId="5" fontId="5" numFmtId="0" xfId="0" applyAlignment="1" applyBorder="1" applyFill="1" applyFont="1">
      <alignment readingOrder="0" shrinkToFit="0" vertical="bottom" wrapText="0"/>
    </xf>
    <xf borderId="2" fillId="6" fontId="5" numFmtId="0" xfId="0" applyAlignment="1" applyBorder="1" applyFill="1" applyFont="1">
      <alignment horizontal="center" readingOrder="0" shrinkToFit="0" wrapText="0"/>
    </xf>
    <xf borderId="2" fillId="5" fontId="5" numFmtId="0" xfId="0" applyAlignment="1" applyBorder="1" applyFont="1">
      <alignment horizontal="center" readingOrder="0" shrinkToFit="0" wrapText="0"/>
    </xf>
    <xf borderId="2" fillId="7" fontId="5" numFmtId="0" xfId="0" applyAlignment="1" applyBorder="1" applyFill="1" applyFont="1">
      <alignment horizontal="center" readingOrder="0" shrinkToFit="0" wrapText="0"/>
    </xf>
    <xf borderId="2" fillId="8" fontId="5" numFmtId="0" xfId="0" applyAlignment="1" applyBorder="1" applyFill="1" applyFont="1">
      <alignment horizontal="center" readingOrder="0" shrinkToFit="0" wrapText="0"/>
    </xf>
    <xf borderId="2" fillId="9" fontId="6" numFmtId="0" xfId="0" applyAlignment="1" applyBorder="1" applyFill="1" applyFont="1">
      <alignment horizontal="center" readingOrder="0" shrinkToFit="0" wrapText="0"/>
    </xf>
    <xf borderId="3" fillId="10" fontId="3" numFmtId="0" xfId="0" applyAlignment="1" applyBorder="1" applyFill="1" applyFont="1">
      <alignment readingOrder="0"/>
    </xf>
    <xf borderId="3" fillId="0" fontId="1" numFmtId="3" xfId="0" applyBorder="1" applyFont="1" applyNumberFormat="1"/>
    <xf borderId="3" fillId="0" fontId="1" numFmtId="0" xfId="0" applyAlignment="1" applyBorder="1" applyFont="1">
      <alignment readingOrder="0"/>
    </xf>
    <xf borderId="0" fillId="11" fontId="1" numFmtId="0" xfId="0" applyFill="1" applyFont="1"/>
    <xf borderId="0" fillId="11" fontId="1" numFmtId="3" xfId="0" applyFont="1" applyNumberFormat="1"/>
    <xf borderId="0" fillId="11" fontId="1" numFmtId="9" xfId="0" applyFont="1" applyNumberFormat="1"/>
    <xf borderId="0" fillId="11" fontId="4" numFmtId="3" xfId="0" applyFont="1" applyNumberFormat="1"/>
    <xf borderId="0" fillId="12" fontId="1" numFmtId="0" xfId="0" applyAlignment="1" applyFill="1" applyFont="1">
      <alignment readingOrder="0"/>
    </xf>
    <xf borderId="0" fillId="12" fontId="1" numFmtId="3" xfId="0" applyAlignment="1" applyFont="1" applyNumberFormat="1">
      <alignment horizontal="right"/>
    </xf>
    <xf borderId="0" fillId="12" fontId="1" numFmtId="3" xfId="0" applyFont="1" applyNumberFormat="1"/>
    <xf borderId="3" fillId="7" fontId="3" numFmtId="0" xfId="0" applyAlignment="1" applyBorder="1" applyFont="1">
      <alignment readingOrder="0"/>
    </xf>
    <xf borderId="0" fillId="13" fontId="1" numFmtId="0" xfId="0" applyFill="1" applyFont="1"/>
    <xf borderId="0" fillId="13" fontId="1" numFmtId="3" xfId="0" applyFont="1" applyNumberFormat="1"/>
    <xf borderId="0" fillId="13" fontId="1" numFmtId="9" xfId="0" applyFont="1" applyNumberFormat="1"/>
    <xf borderId="0" fillId="13" fontId="4" numFmtId="3" xfId="0" applyFont="1" applyNumberFormat="1"/>
    <xf borderId="0" fillId="5" fontId="1" numFmtId="0" xfId="0" applyAlignment="1" applyFont="1">
      <alignment readingOrder="0"/>
    </xf>
    <xf borderId="0" fillId="5" fontId="1" numFmtId="3" xfId="0" applyAlignment="1" applyFont="1" applyNumberFormat="1">
      <alignment horizontal="right"/>
    </xf>
    <xf borderId="0" fillId="5" fontId="1" numFmtId="3" xfId="0" applyFont="1" applyNumberFormat="1"/>
    <xf borderId="4" fillId="8" fontId="4" numFmtId="0" xfId="0" applyAlignment="1" applyBorder="1" applyFont="1">
      <alignment readingOrder="0"/>
    </xf>
    <xf borderId="4" fillId="0" fontId="1" numFmtId="3" xfId="0" applyBorder="1" applyFont="1" applyNumberFormat="1"/>
    <xf borderId="4" fillId="0" fontId="1" numFmtId="0" xfId="0" applyAlignment="1" applyBorder="1" applyFont="1">
      <alignment readingOrder="0"/>
    </xf>
    <xf borderId="0" fillId="4" fontId="1" numFmtId="0" xfId="0" applyFont="1"/>
    <xf borderId="0" fillId="4" fontId="1" numFmtId="3" xfId="0" applyFont="1" applyNumberFormat="1"/>
    <xf borderId="0" fillId="4" fontId="1" numFmtId="9" xfId="0" applyFont="1" applyNumberFormat="1"/>
    <xf borderId="0" fillId="4" fontId="4" numFmtId="3" xfId="0" applyFont="1" applyNumberFormat="1"/>
    <xf borderId="5" fillId="9" fontId="3" numFmtId="0" xfId="0" applyAlignment="1" applyBorder="1" applyFont="1">
      <alignment readingOrder="0"/>
    </xf>
    <xf borderId="5" fillId="0" fontId="1" numFmtId="3" xfId="0" applyBorder="1" applyFont="1" applyNumberFormat="1"/>
    <xf borderId="0" fillId="0" fontId="1" numFmtId="3" xfId="0" applyFont="1" applyNumberFormat="1"/>
    <xf borderId="0" fillId="0" fontId="1" numFmtId="9" xfId="0" applyFont="1" applyNumberFormat="1"/>
    <xf borderId="0" fillId="3" fontId="4" numFmtId="3" xfId="0" applyFont="1" applyNumberFormat="1"/>
    <xf borderId="0" fillId="0" fontId="7" numFmtId="0" xfId="0" applyAlignment="1" applyFont="1">
      <alignment horizontal="right" readingOrder="0"/>
    </xf>
    <xf borderId="0" fillId="4" fontId="8" numFmtId="0" xfId="0" applyAlignment="1" applyFont="1">
      <alignment readingOrder="0"/>
    </xf>
    <xf borderId="0" fillId="4" fontId="8" numFmtId="3" xfId="0" applyAlignment="1" applyFont="1" applyNumberFormat="1">
      <alignment horizontal="right"/>
    </xf>
    <xf borderId="0" fillId="4" fontId="8" numFmtId="3" xfId="0" applyFont="1" applyNumberFormat="1"/>
    <xf borderId="3" fillId="0" fontId="1" numFmtId="0" xfId="0" applyAlignment="1" applyBorder="1" applyFont="1">
      <alignment horizontal="center" readingOrder="0"/>
    </xf>
    <xf borderId="3" fillId="0" fontId="1" numFmtId="0" xfId="0" applyBorder="1" applyFont="1"/>
    <xf borderId="3" fillId="3" fontId="4" numFmtId="3" xfId="0" applyBorder="1" applyFont="1" applyNumberFormat="1"/>
    <xf borderId="6" fillId="3" fontId="4" numFmtId="3" xfId="0" applyBorder="1" applyFont="1" applyNumberFormat="1"/>
    <xf borderId="0" fillId="13" fontId="9" numFmtId="3" xfId="0" applyFont="1" applyNumberFormat="1"/>
    <xf borderId="0" fillId="14" fontId="7" numFmtId="0" xfId="0" applyAlignment="1" applyFill="1" applyFont="1">
      <alignment readingOrder="0"/>
    </xf>
    <xf borderId="0" fillId="14" fontId="7" numFmtId="3" xfId="0" applyFont="1" applyNumberFormat="1"/>
    <xf borderId="0" fillId="0" fontId="10" numFmtId="0" xfId="0" applyAlignment="1" applyFont="1">
      <alignment readingOrder="0"/>
    </xf>
    <xf borderId="0" fillId="14" fontId="11" numFmtId="0" xfId="0" applyAlignment="1" applyFont="1">
      <alignment horizontal="center" readingOrder="0" shrinkToFit="0" wrapText="0"/>
    </xf>
    <xf borderId="0" fillId="12" fontId="5" numFmtId="0" xfId="0" applyAlignment="1" applyFont="1">
      <alignment horizontal="left" readingOrder="0" shrinkToFit="0" vertical="bottom" wrapText="0"/>
    </xf>
    <xf borderId="0" fillId="12" fontId="5" numFmtId="0" xfId="0" applyAlignment="1" applyFont="1">
      <alignment horizontal="right" readingOrder="0" shrinkToFit="0" vertical="bottom" wrapText="0"/>
    </xf>
    <xf borderId="0" fillId="12" fontId="5" numFmtId="10" xfId="0" applyAlignment="1" applyFont="1" applyNumberFormat="1">
      <alignment horizontal="right" readingOrder="0" shrinkToFit="0" vertical="bottom" wrapText="0"/>
    </xf>
    <xf borderId="0" fillId="15" fontId="5" numFmtId="0" xfId="0" applyAlignment="1" applyFill="1" applyFont="1">
      <alignment horizontal="left" readingOrder="0" shrinkToFit="0" vertical="bottom" wrapText="0"/>
    </xf>
    <xf borderId="0" fillId="15" fontId="5" numFmtId="0" xfId="0" applyAlignment="1" applyFont="1">
      <alignment horizontal="right" readingOrder="0" shrinkToFit="0" vertical="bottom" wrapText="0"/>
    </xf>
    <xf borderId="0" fillId="15" fontId="5" numFmtId="10" xfId="0" applyAlignment="1" applyFont="1" applyNumberFormat="1">
      <alignment horizontal="right" readingOrder="0" shrinkToFit="0" vertical="bottom" wrapText="0"/>
    </xf>
    <xf borderId="0" fillId="5" fontId="11" numFmtId="0" xfId="0" applyAlignment="1" applyFont="1">
      <alignment horizontal="left" readingOrder="0" shrinkToFit="0" vertical="bottom" wrapText="0"/>
    </xf>
    <xf borderId="0" fillId="5" fontId="11" numFmtId="0" xfId="0" applyAlignment="1" applyFont="1">
      <alignment horizontal="right" readingOrder="0" shrinkToFit="0" vertical="bottom" wrapText="0"/>
    </xf>
    <xf borderId="0" fillId="5" fontId="11" numFmtId="10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center"/>
    </xf>
    <xf borderId="0" fillId="16" fontId="3" numFmtId="0" xfId="0" applyAlignment="1" applyFill="1" applyFont="1">
      <alignment readingOrder="0"/>
    </xf>
    <xf borderId="0" fillId="17" fontId="1" numFmtId="0" xfId="0" applyAlignment="1" applyFill="1" applyFont="1">
      <alignment horizontal="center" readingOrder="0"/>
    </xf>
    <xf borderId="0" fillId="17" fontId="1" numFmtId="0" xfId="0" applyFont="1"/>
    <xf borderId="0" fillId="15" fontId="1" numFmtId="0" xfId="0" applyFont="1"/>
    <xf borderId="0" fillId="0" fontId="1" numFmtId="3" xfId="0" applyAlignment="1" applyFont="1" applyNumberFormat="1">
      <alignment horizontal="center"/>
    </xf>
    <xf borderId="0" fillId="5" fontId="4" numFmtId="3" xfId="0" applyFont="1" applyNumberFormat="1"/>
    <xf borderId="0" fillId="14" fontId="4" numFmtId="0" xfId="0" applyFont="1"/>
    <xf borderId="0" fillId="14" fontId="1" numFmtId="1" xfId="0" applyFont="1" applyNumberFormat="1"/>
    <xf borderId="0" fillId="14" fontId="1" numFmtId="3" xfId="0" applyFont="1" applyNumberFormat="1"/>
    <xf borderId="0" fillId="15" fontId="1" numFmtId="0" xfId="0" applyAlignment="1" applyFont="1">
      <alignment readingOrder="0"/>
    </xf>
    <xf borderId="0" fillId="5" fontId="9" numFmtId="3" xfId="0" applyFont="1" applyNumberFormat="1"/>
    <xf borderId="0" fillId="10" fontId="3" numFmtId="0" xfId="0" applyAlignment="1" applyFont="1">
      <alignment readingOrder="0"/>
    </xf>
    <xf borderId="0" fillId="4" fontId="1" numFmtId="1" xfId="0" applyFont="1" applyNumberFormat="1"/>
    <xf borderId="0" fillId="7" fontId="3" numFmtId="0" xfId="0" applyAlignment="1" applyFont="1">
      <alignment readingOrder="0"/>
    </xf>
    <xf borderId="0" fillId="18" fontId="4" numFmtId="3" xfId="0" applyFill="1" applyFont="1" applyNumberFormat="1"/>
    <xf borderId="0" fillId="8" fontId="4" numFmtId="0" xfId="0" applyAlignment="1" applyFont="1">
      <alignment readingOrder="0"/>
    </xf>
    <xf borderId="0" fillId="19" fontId="4" numFmtId="3" xfId="0" applyFill="1" applyFont="1" applyNumberFormat="1"/>
    <xf borderId="0" fillId="9" fontId="3" numFmtId="0" xfId="0" applyAlignment="1" applyFont="1">
      <alignment readingOrder="0"/>
    </xf>
    <xf borderId="0" fillId="12" fontId="4" numFmtId="3" xfId="0" applyFont="1" applyNumberFormat="1"/>
    <xf borderId="3" fillId="14" fontId="12" numFmtId="0" xfId="0" applyAlignment="1" applyBorder="1" applyFont="1">
      <alignment horizontal="center" readingOrder="0" shrinkToFit="0" wrapText="0"/>
    </xf>
    <xf borderId="3" fillId="14" fontId="12" numFmtId="1" xfId="0" applyAlignment="1" applyBorder="1" applyFont="1" applyNumberFormat="1">
      <alignment horizontal="center" readingOrder="0" shrinkToFit="0" wrapText="0"/>
    </xf>
    <xf borderId="0" fillId="9" fontId="3" numFmtId="0" xfId="0" applyFont="1"/>
    <xf borderId="3" fillId="3" fontId="0" numFmtId="0" xfId="0" applyAlignment="1" applyBorder="1" applyFont="1">
      <alignment horizontal="center" readingOrder="0" shrinkToFit="0" vertical="bottom" wrapText="0"/>
    </xf>
    <xf borderId="7" fillId="0" fontId="13" numFmtId="165" xfId="0" applyAlignment="1" applyBorder="1" applyFont="1" applyNumberFormat="1">
      <alignment horizontal="center" readingOrder="0" shrinkToFit="0" vertical="bottom" wrapText="0"/>
    </xf>
    <xf borderId="7" fillId="0" fontId="0" numFmtId="0" xfId="0" applyAlignment="1" applyBorder="1" applyFont="1">
      <alignment readingOrder="0" shrinkToFit="0" vertical="bottom" wrapText="0"/>
    </xf>
    <xf borderId="7" fillId="0" fontId="13" numFmtId="1" xfId="0" applyAlignment="1" applyBorder="1" applyFont="1" applyNumberFormat="1">
      <alignment horizontal="right" readingOrder="0" shrinkToFit="0" vertical="bottom" wrapText="0"/>
    </xf>
    <xf borderId="3" fillId="3" fontId="0" numFmtId="0" xfId="0" applyAlignment="1" applyBorder="1" applyFont="1">
      <alignment shrinkToFit="0" vertical="bottom" wrapText="0"/>
    </xf>
    <xf borderId="0" fillId="18" fontId="1" numFmtId="0" xfId="0" applyFont="1"/>
    <xf borderId="3" fillId="0" fontId="0" numFmtId="0" xfId="0" applyAlignment="1" applyBorder="1" applyFont="1">
      <alignment shrinkToFit="0" vertical="bottom" wrapText="0"/>
    </xf>
    <xf borderId="3" fillId="0" fontId="13" numFmtId="0" xfId="0" applyBorder="1" applyFont="1"/>
    <xf borderId="7" fillId="0" fontId="0" numFmtId="0" xfId="0" applyAlignment="1" applyBorder="1" applyFont="1">
      <alignment shrinkToFit="0" vertical="bottom" wrapText="0"/>
    </xf>
    <xf borderId="7" fillId="0" fontId="14" numFmtId="0" xfId="0" applyAlignment="1" applyBorder="1" applyFont="1">
      <alignment readingOrder="0" shrinkToFit="0" vertical="bottom" wrapText="0"/>
    </xf>
    <xf borderId="3" fillId="0" fontId="13" numFmtId="0" xfId="0" applyAlignment="1" applyBorder="1" applyFont="1">
      <alignment readingOrder="0"/>
    </xf>
    <xf borderId="3" fillId="0" fontId="13" numFmtId="1" xfId="0" applyBorder="1" applyFont="1" applyNumberFormat="1"/>
    <xf borderId="0" fillId="3" fontId="0" numFmtId="0" xfId="0" applyAlignment="1" applyFont="1">
      <alignment horizontal="center" readingOrder="0" shrinkToFit="0" vertical="bottom" wrapText="0"/>
    </xf>
    <xf borderId="0" fillId="0" fontId="13" numFmtId="0" xfId="0" applyFont="1"/>
    <xf borderId="0" fillId="0" fontId="13" numFmtId="1" xfId="0" applyFont="1" applyNumberFormat="1"/>
    <xf borderId="0" fillId="14" fontId="15" numFmtId="0" xfId="0" applyAlignment="1" applyFont="1">
      <alignment horizontal="center" readingOrder="0" shrinkToFit="0" wrapText="0"/>
    </xf>
    <xf borderId="7" fillId="3" fontId="16" numFmtId="0" xfId="0" applyAlignment="1" applyBorder="1" applyFont="1">
      <alignment horizontal="center" readingOrder="0" shrinkToFit="0" vertical="bottom" wrapText="0"/>
    </xf>
    <xf borderId="7" fillId="3" fontId="16" numFmtId="165" xfId="0" applyAlignment="1" applyBorder="1" applyFont="1" applyNumberFormat="1">
      <alignment horizontal="center" readingOrder="0" shrinkToFit="0" vertical="bottom" wrapText="0"/>
    </xf>
    <xf borderId="7" fillId="3" fontId="16" numFmtId="0" xfId="0" applyAlignment="1" applyBorder="1" applyFont="1">
      <alignment horizontal="left" readingOrder="0" shrinkToFit="0" vertical="bottom" wrapText="0"/>
    </xf>
    <xf borderId="7" fillId="3" fontId="16" numFmtId="0" xfId="0" applyAlignment="1" applyBorder="1" applyFont="1">
      <alignment horizontal="right" readingOrder="0" shrinkToFit="0" vertical="bottom" wrapText="0"/>
    </xf>
    <xf borderId="3" fillId="14" fontId="12" numFmtId="3" xfId="0" applyAlignment="1" applyBorder="1" applyFont="1" applyNumberFormat="1">
      <alignment horizontal="center" readingOrder="0" shrinkToFit="0" wrapText="0"/>
    </xf>
    <xf borderId="7" fillId="0" fontId="16" numFmtId="3" xfId="0" applyAlignment="1" applyBorder="1" applyFont="1" applyNumberFormat="1">
      <alignment horizontal="center" readingOrder="0" shrinkToFit="0" vertical="bottom" wrapText="0"/>
    </xf>
    <xf borderId="7" fillId="0" fontId="16" numFmtId="165" xfId="0" applyAlignment="1" applyBorder="1" applyFont="1" applyNumberFormat="1">
      <alignment horizontal="center" readingOrder="0" shrinkToFit="0" vertical="bottom" wrapText="0"/>
    </xf>
    <xf borderId="7" fillId="0" fontId="16" numFmtId="0" xfId="0" applyAlignment="1" applyBorder="1" applyFont="1">
      <alignment horizontal="right" readingOrder="0" shrinkToFit="0" vertical="bottom" wrapText="0"/>
    </xf>
    <xf borderId="7" fillId="0" fontId="16" numFmtId="0" xfId="0" applyAlignment="1" applyBorder="1" applyFont="1">
      <alignment horizontal="left" shrinkToFit="0" vertical="bottom" wrapText="0"/>
    </xf>
    <xf borderId="7" fillId="0" fontId="16" numFmtId="3" xfId="0" applyAlignment="1" applyBorder="1" applyFont="1" applyNumberFormat="1">
      <alignment horizontal="right" readingOrder="0" shrinkToFit="0" vertical="bottom" wrapText="0"/>
    </xf>
    <xf borderId="7" fillId="0" fontId="16" numFmtId="0" xfId="0" applyAlignment="1" applyBorder="1" applyFont="1">
      <alignment horizontal="left" readingOrder="0" shrinkToFit="0" vertical="bottom" wrapText="0"/>
    </xf>
    <xf borderId="0" fillId="0" fontId="1" numFmtId="3" xfId="0" applyAlignment="1" applyFont="1" applyNumberFormat="1">
      <alignment horizontal="right"/>
    </xf>
    <xf borderId="0" fillId="9" fontId="1" numFmtId="0" xfId="0" applyFont="1"/>
    <xf borderId="3" fillId="0" fontId="16" numFmtId="0" xfId="0" applyAlignment="1" applyBorder="1" applyFont="1">
      <alignment readingOrder="0" shrinkToFit="0" vertical="bottom" wrapText="0"/>
    </xf>
    <xf borderId="3" fillId="20" fontId="1" numFmtId="0" xfId="0" applyAlignment="1" applyBorder="1" applyFill="1" applyFont="1">
      <alignment readingOrder="0"/>
    </xf>
    <xf borderId="3" fillId="20" fontId="1" numFmtId="0" xfId="0" applyBorder="1" applyFont="1"/>
    <xf borderId="3" fillId="0" fontId="16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5" fillId="0" fontId="1" numFmtId="0" xfId="0" applyAlignment="1" applyBorder="1" applyFont="1">
      <alignment readingOrder="0"/>
    </xf>
    <xf borderId="5" fillId="0" fontId="1" numFmtId="0" xfId="0" applyBorder="1" applyFont="1"/>
    <xf borderId="8" fillId="9" fontId="17" numFmtId="0" xfId="0" applyAlignment="1" applyBorder="1" applyFont="1">
      <alignment horizontal="center" readingOrder="0" shrinkToFit="0" vertical="bottom" wrapText="0"/>
    </xf>
    <xf borderId="9" fillId="0" fontId="1" numFmtId="0" xfId="0" applyBorder="1" applyFont="1"/>
    <xf borderId="0" fillId="0" fontId="1" numFmtId="0" xfId="0" applyAlignment="1" applyFont="1">
      <alignment horizontal="center" readingOrder="0"/>
    </xf>
    <xf borderId="5" fillId="0" fontId="16" numFmtId="0" xfId="0" applyAlignment="1" applyBorder="1" applyFont="1">
      <alignment readingOrder="0" shrinkToFit="0" vertical="bottom" wrapText="0"/>
    </xf>
    <xf borderId="5" fillId="0" fontId="16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Arial"/>
              </a:defRPr>
            </a:pPr>
            <a:r>
              <a:rPr b="0" sz="1600">
                <a:solidFill>
                  <a:srgbClr val="000000"/>
                </a:solidFill>
                <a:latin typeface="Arial"/>
              </a:rPr>
              <a:t>Распределение повседневных расходов по категориям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'Дашборд'!$C$23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DB4437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  <c:spPr>
              <a:solidFill>
                <a:srgbClr val="0F9D58"/>
              </a:solidFill>
            </c:spPr>
          </c:dPt>
          <c:dPt>
            <c:idx val="4"/>
            <c:spPr>
              <a:solidFill>
                <a:srgbClr val="FF6D00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AB30C4"/>
              </a:solidFill>
            </c:spPr>
          </c:dPt>
          <c:dPt>
            <c:idx val="7"/>
            <c:spPr>
              <a:solidFill>
                <a:srgbClr val="C1BC1F"/>
              </a:solidFill>
            </c:spPr>
          </c:dPt>
          <c:dPt>
            <c:idx val="8"/>
            <c:spPr>
              <a:solidFill>
                <a:srgbClr val="3949AB"/>
              </a:solidFill>
            </c:spPr>
          </c:dPt>
          <c:dPt>
            <c:idx val="9"/>
            <c:spPr>
              <a:solidFill>
                <a:srgbClr val="F975A8"/>
              </a:solidFill>
            </c:spPr>
          </c:dPt>
          <c:dPt>
            <c:idx val="10"/>
            <c:spPr>
              <a:solidFill>
                <a:srgbClr val="00695C"/>
              </a:solidFill>
            </c:spPr>
          </c:dPt>
          <c:dPt>
            <c:idx val="11"/>
            <c:spPr>
              <a:solidFill>
                <a:srgbClr val="C2185B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'Дашборд'!$B$24:$B$35</c:f>
            </c:strRef>
          </c:cat>
          <c:val>
            <c:numRef>
              <c:f>'Дашборд'!$C$24:$C$35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l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  <a:r>
              <a:rPr b="0" sz="1600">
                <a:solidFill>
                  <a:srgbClr val="000000"/>
                </a:solidFill>
                <a:latin typeface="Roboto"/>
              </a:rPr>
              <a:t>Динамика среднего расхода в месяц (накопленным итогом)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'Дашборд'!$C$53:$H$53</c:f>
            </c:strRef>
          </c:cat>
          <c:val>
            <c:numRef>
              <c:f>'Дашборд'!$C$70:$H$70</c:f>
              <c:numCache/>
            </c:numRef>
          </c:val>
          <c:smooth val="1"/>
        </c:ser>
        <c:axId val="1656738313"/>
        <c:axId val="1120919425"/>
      </c:lineChart>
      <c:catAx>
        <c:axId val="1656738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20919425"/>
      </c:catAx>
      <c:valAx>
        <c:axId val="11209194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567383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  <a:r>
              <a:rPr b="0" sz="1600">
                <a:solidFill>
                  <a:srgbClr val="000000"/>
                </a:solidFill>
                <a:latin typeface="Roboto"/>
              </a:rPr>
              <a:t>Разбивка расходов по месяцам 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'Дашборд'!$C$53:$H$53</c:f>
            </c:strRef>
          </c:cat>
          <c:val>
            <c:numRef>
              <c:f>'Дашборд'!$C$66:$H$66</c:f>
              <c:numCache/>
            </c:numRef>
          </c:val>
        </c:ser>
        <c:ser>
          <c:idx val="1"/>
          <c:order val="1"/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'Дашборд'!$C$53:$H$53</c:f>
            </c:strRef>
          </c:cat>
          <c:val>
            <c:numRef>
              <c:f>'Дашборд'!$C$73:$H$73</c:f>
              <c:numCache/>
            </c:numRef>
          </c:val>
        </c:ser>
        <c:ser>
          <c:idx val="2"/>
          <c:order val="2"/>
          <c:spPr>
            <a:solidFill>
              <a:srgbClr val="00FF00"/>
            </a:solidFill>
            <a:ln cmpd="sng">
              <a:solidFill>
                <a:srgbClr val="000000"/>
              </a:solidFill>
            </a:ln>
          </c:spPr>
          <c:cat>
            <c:strRef>
              <c:f>'Дашборд'!$C$53:$H$53</c:f>
            </c:strRef>
          </c:cat>
          <c:val>
            <c:numRef>
              <c:f>'Дашборд'!$C$74:$H$74</c:f>
              <c:numCache/>
            </c:numRef>
          </c:val>
        </c:ser>
        <c:overlap val="100"/>
        <c:axId val="1441874410"/>
        <c:axId val="134040960"/>
      </c:barChart>
      <c:catAx>
        <c:axId val="14418744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040960"/>
      </c:catAx>
      <c:valAx>
        <c:axId val="1340409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418744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Roboto"/>
              </a:defRPr>
            </a:pPr>
            <a:r>
              <a:rPr b="0" sz="1600">
                <a:solidFill>
                  <a:srgbClr val="000000"/>
                </a:solidFill>
                <a:latin typeface="Roboto"/>
              </a:rPr>
              <a:t>Повседневные / Крупные / Квартира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A86E8"/>
              </a:solidFill>
            </c:spPr>
          </c:dPt>
          <c:dPt>
            <c:idx val="1"/>
            <c:spPr>
              <a:solidFill>
                <a:srgbClr val="FF9900"/>
              </a:solidFill>
            </c:spPr>
          </c:dPt>
          <c:dPt>
            <c:idx val="2"/>
            <c:spPr>
              <a:solidFill>
                <a:srgbClr val="00FF0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'Дашборд'!$N$23:$N$25</c:f>
            </c:strRef>
          </c:cat>
          <c:val>
            <c:numRef>
              <c:f>'Дашборд'!$O$23:$O$25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4</xdr:row>
      <xdr:rowOff>171450</xdr:rowOff>
    </xdr:from>
    <xdr:ext cx="5438775" cy="32575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571500</xdr:colOff>
      <xdr:row>36</xdr:row>
      <xdr:rowOff>190500</xdr:rowOff>
    </xdr:from>
    <xdr:ext cx="5857875" cy="23907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571500</xdr:colOff>
      <xdr:row>4</xdr:row>
      <xdr:rowOff>142875</xdr:rowOff>
    </xdr:from>
    <xdr:ext cx="5791200" cy="32575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12</xdr:col>
      <xdr:colOff>552450</xdr:colOff>
      <xdr:row>4</xdr:row>
      <xdr:rowOff>142875</xdr:rowOff>
    </xdr:from>
    <xdr:ext cx="3257550" cy="3257550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G1950" sheet="Повседневные"/>
  </cacheSource>
  <cacheFields>
    <cacheField name="Month" numFmtId="0">
      <sharedItems containsString="0" containsBlank="1" containsNumber="1" containsInteger="1">
        <n v="1.0"/>
        <n v="2.0"/>
        <n v="3.0"/>
        <n v="4.0"/>
        <n v="5.0"/>
        <n v="6.0"/>
        <n v="12.0"/>
        <m/>
      </sharedItems>
    </cacheField>
    <cacheField name="Дата" numFmtId="165">
      <sharedItems containsDate="1" containsString="0" containsBlank="1">
        <d v="2018-01-02T00:00:00Z"/>
        <d v="2018-01-03T00:00:00Z"/>
        <d v="2018-01-04T00:00:00Z"/>
        <d v="2018-01-05T00:00:00Z"/>
        <d v="2018-01-06T00:00:00Z"/>
        <d v="2018-01-07T00:00:00Z"/>
        <d v="2018-01-08T00:00:00Z"/>
        <d v="2018-01-09T00:00:00Z"/>
        <d v="2018-01-11T00:00:00Z"/>
        <d v="2018-01-12T00:00:00Z"/>
        <d v="2018-01-13T00:00:00Z"/>
        <d v="2018-01-14T00:00:00Z"/>
        <d v="2018-01-15T00:00:00Z"/>
        <d v="2018-01-16T00:00:00Z"/>
        <d v="2018-01-17T00:00:00Z"/>
        <d v="2018-01-18T00:00:00Z"/>
        <d v="2018-01-19T00:00:00Z"/>
        <d v="2018-01-20T00:00:00Z"/>
        <d v="2018-01-21T00:00:00Z"/>
        <d v="2018-01-22T00:00:00Z"/>
        <d v="2018-01-23T00:00:00Z"/>
        <d v="2018-01-24T00:00:00Z"/>
        <d v="2018-01-25T00:00:00Z"/>
        <d v="2018-01-26T00:00:00Z"/>
        <d v="2018-01-27T00:00:00Z"/>
        <d v="2018-01-28T00:00:00Z"/>
        <d v="2018-01-29T00:00:00Z"/>
        <d v="2018-01-30T00:00:00Z"/>
        <d v="2018-01-31T00:00:00Z"/>
        <d v="2018-02-01T00:00:00Z"/>
        <d v="2018-02-02T00:00:00Z"/>
        <d v="2018-02-03T00:00:00Z"/>
        <d v="2018-02-04T00:00:00Z"/>
        <d v="2018-02-05T00:00:00Z"/>
        <d v="2018-02-06T00:00:00Z"/>
        <d v="2018-02-07T00:00:00Z"/>
        <d v="2018-02-08T00:00:00Z"/>
        <d v="2018-02-09T00:00:00Z"/>
        <d v="2018-02-10T00:00:00Z"/>
        <d v="2018-02-11T00:00:00Z"/>
        <d v="2018-02-12T00:00:00Z"/>
        <d v="2018-02-13T00:00:00Z"/>
        <d v="2018-02-14T00:00:00Z"/>
        <d v="2018-02-15T00:00:00Z"/>
        <d v="2018-02-16T00:00:00Z"/>
        <d v="2018-02-17T00:00:00Z"/>
        <d v="2018-02-18T00:00:00Z"/>
        <d v="2018-02-19T00:00:00Z"/>
        <d v="2018-02-20T00:00:00Z"/>
        <d v="2018-02-21T00:00:00Z"/>
        <d v="2018-02-22T00:00:00Z"/>
        <d v="2018-02-23T00:00:00Z"/>
        <d v="2018-02-24T00:00:00Z"/>
        <d v="2018-02-25T00:00:00Z"/>
        <d v="2018-02-26T00:00:00Z"/>
        <d v="2018-02-27T00:00:00Z"/>
        <d v="2018-02-28T00:00:00Z"/>
        <d v="2018-03-01T00:00:00Z"/>
        <d v="2018-03-02T00:00:00Z"/>
        <d v="2018-03-03T00:00:00Z"/>
        <d v="2018-03-04T00:00:00Z"/>
        <d v="2018-03-05T00:00:00Z"/>
        <d v="2018-03-06T00:00:00Z"/>
        <d v="2018-03-07T00:00:00Z"/>
        <d v="2018-03-08T00:00:00Z"/>
        <d v="2018-03-09T00:00:00Z"/>
        <d v="2018-03-10T00:00:00Z"/>
        <d v="2018-03-11T00:00:00Z"/>
        <d v="2018-03-12T00:00:00Z"/>
        <d v="2018-03-13T00:00:00Z"/>
        <d v="2018-03-14T00:00:00Z"/>
        <d v="2018-03-15T00:00:00Z"/>
        <d v="2018-03-16T00:00:00Z"/>
        <d v="2018-03-17T00:00:00Z"/>
        <d v="2018-03-18T00:00:00Z"/>
        <d v="2018-03-19T00:00:00Z"/>
        <d v="2018-03-20T00:00:00Z"/>
        <d v="2018-03-21T00:00:00Z"/>
        <d v="2018-03-22T00:00:00Z"/>
        <d v="2018-03-23T00:00:00Z"/>
        <d v="2018-03-24T00:00:00Z"/>
        <d v="2018-03-25T00:00:00Z"/>
        <d v="2018-03-26T00:00:00Z"/>
        <d v="2018-03-27T00:00:00Z"/>
        <d v="2018-03-28T00:00:00Z"/>
        <d v="2018-03-29T00:00:00Z"/>
        <d v="2018-03-30T00:00:00Z"/>
        <d v="2018-03-31T00:00:00Z"/>
        <d v="2018-04-01T00:00:00Z"/>
        <d v="2018-04-02T00:00:00Z"/>
        <d v="2018-04-03T00:00:00Z"/>
        <d v="2018-04-04T00:00:00Z"/>
        <d v="2018-04-05T00:00:00Z"/>
        <d v="2018-04-06T00:00:00Z"/>
        <d v="2018-04-07T00:00:00Z"/>
        <d v="2018-04-08T00:00:00Z"/>
        <d v="2018-04-09T00:00:00Z"/>
        <d v="2018-04-10T00:00:00Z"/>
        <d v="2018-04-11T00:00:00Z"/>
        <d v="2018-04-12T00:00:00Z"/>
        <d v="2018-04-13T00:00:00Z"/>
        <d v="2018-04-14T00:00:00Z"/>
        <d v="2018-04-15T00:00:00Z"/>
        <d v="2018-04-16T00:00:00Z"/>
        <d v="2018-04-17T00:00:00Z"/>
        <d v="2018-04-18T00:00:00Z"/>
        <d v="2018-04-19T00:00:00Z"/>
        <d v="2018-04-20T00:00:00Z"/>
        <d v="2018-04-21T00:00:00Z"/>
        <d v="2018-04-22T00:00:00Z"/>
        <d v="2018-04-23T00:00:00Z"/>
        <d v="2018-04-24T00:00:00Z"/>
        <d v="2018-04-25T00:00:00Z"/>
        <d v="2018-04-26T00:00:00Z"/>
        <d v="2018-04-27T00:00:00Z"/>
        <d v="2018-04-28T00:00:00Z"/>
        <d v="2018-04-29T00:00:00Z"/>
        <d v="2018-04-30T00:00:00Z"/>
        <d v="2018-05-01T00:00:00Z"/>
        <d v="2018-05-02T00:00:00Z"/>
        <d v="2018-05-03T00:00:00Z"/>
        <d v="2018-05-04T00:00:00Z"/>
        <d v="2018-05-05T00:00:00Z"/>
        <d v="2018-05-06T00:00:00Z"/>
        <d v="2018-05-07T00:00:00Z"/>
        <d v="2018-05-08T00:00:00Z"/>
        <d v="2018-05-09T00:00:00Z"/>
        <d v="2018-05-10T00:00:00Z"/>
        <d v="2018-05-11T00:00:00Z"/>
        <d v="2018-05-12T00:00:00Z"/>
        <d v="2018-05-13T00:00:00Z"/>
        <d v="2018-05-14T00:00:00Z"/>
        <d v="2018-05-15T00:00:00Z"/>
        <d v="2018-05-16T00:00:00Z"/>
        <d v="2018-05-17T00:00:00Z"/>
        <d v="2018-05-18T00:00:00Z"/>
        <d v="2018-05-19T00:00:00Z"/>
        <d v="2018-05-20T00:00:00Z"/>
        <d v="2018-05-21T00:00:00Z"/>
        <d v="2018-05-22T00:00:00Z"/>
        <d v="2018-05-23T00:00:00Z"/>
        <d v="2018-05-24T00:00:00Z"/>
        <d v="2018-05-25T00:00:00Z"/>
        <d v="2018-05-26T00:00:00Z"/>
        <d v="2018-05-27T00:00:00Z"/>
        <d v="2018-05-28T00:00:00Z"/>
        <d v="2018-05-29T00:00:00Z"/>
        <d v="2018-05-30T00:00:00Z"/>
        <d v="2018-05-31T00:00:00Z"/>
        <d v="2018-06-01T00:00:00Z"/>
        <d v="2018-06-02T00:00:00Z"/>
        <d v="2018-06-03T00:00:00Z"/>
        <d v="2018-06-04T00:00:00Z"/>
        <d v="2018-06-05T00:00:00Z"/>
        <d v="2018-06-06T00:00:00Z"/>
        <d v="2018-06-07T00:00:00Z"/>
        <d v="2018-06-08T00:00:00Z"/>
        <d v="2018-06-09T00:00:00Z"/>
        <d v="2018-06-10T00:00:00Z"/>
        <d v="2018-06-11T00:00:00Z"/>
        <d v="2018-06-12T00:00:00Z"/>
        <d v="2018-06-13T00:00:00Z"/>
        <d v="2018-06-14T00:00:00Z"/>
        <d v="2018-06-15T00:00:00Z"/>
        <d v="2018-06-16T00:00:00Z"/>
        <d v="2018-06-17T00:00:00Z"/>
        <d v="2018-06-18T00:00:00Z"/>
        <d v="2018-06-19T00:00:00Z"/>
        <d v="2018-06-20T00:00:00Z"/>
        <d v="2018-06-21T00:00:00Z"/>
        <d v="2018-06-22T00:00:00Z"/>
        <d v="2018-06-23T00:00:00Z"/>
        <d v="2018-06-24T00:00:00Z"/>
        <d v="2018-06-25T00:00:00Z"/>
        <d v="2018-06-26T00:00:00Z"/>
        <d v="2018-06-27T00:00:00Z"/>
        <d v="2018-06-28T00:00:00Z"/>
        <m/>
      </sharedItems>
    </cacheField>
    <cacheField name="Наименование" numFmtId="0">
      <sharedItems containsBlank="1">
        <s v="Такси"/>
        <s v="Пиво в баре"/>
        <s v="Обед"/>
        <s v="Перекус"/>
        <s v="Кальянная"/>
        <s v="Пиво и пицца"/>
        <s v="Макдоналдс"/>
        <s v="Вино"/>
        <s v="Пиво и креветки"/>
        <s v="Продукты"/>
        <s v="Для бритья"/>
        <s v="Вода"/>
        <s v="Ресторан Питер"/>
        <s v="Пушкинский музей"/>
        <s v="Квест"/>
        <s v="Блэк стар бургер"/>
        <s v="Кино + вода"/>
        <s v="Шоколадка"/>
        <s v="Сидр"/>
        <s v="Домой"/>
        <s v="Коллеге"/>
        <s v="Apple music"/>
        <s v="Сестре"/>
        <s v="Электричка"/>
        <s v="Дима"/>
        <s v="Жевачка"/>
        <s v="Печеньки"/>
        <s v="Нет расходов"/>
        <s v="Еда домой"/>
        <s v="Квиз"/>
        <s v="Бар"/>
        <s v="Якитория"/>
        <s v="Сладости на работу"/>
        <s v="Сладости"/>
        <s v="Пиво"/>
        <s v="Кола и сладости"/>
        <s v="На работе"/>
        <s v="Подарок"/>
        <s v="Шапспанское"/>
        <s v="Бокал"/>
        <s v="Тройка"/>
        <s v="Шоколадница"/>
        <s v="Цветы"/>
        <s v="Сертификат"/>
        <s v="Закусочки"/>
        <s v="Пицца"/>
        <s v="Учителям"/>
        <s v="Врачи"/>
        <s v="Лекарства"/>
        <s v="Связь"/>
        <s v="Аптека"/>
        <s v="Метро"/>
        <s v="Ред булл"/>
        <s v="Бургеры"/>
        <s v="Стрижка"/>
        <s v="Автобус"/>
        <s v="ФАРШ"/>
        <s v="Дженга"/>
        <s v="Кофе "/>
        <s v="Кино"/>
        <s v="Подарки 23"/>
        <s v="Коньяк"/>
        <s v="Ягоды"/>
        <s v="KFC"/>
        <s v="Бургер Кинг"/>
        <s v="На подарок 8 марта"/>
        <s v="Быт химия"/>
        <s v="Попкорн"/>
        <s v="Интернет"/>
        <s v="Шампанское"/>
        <s v="Вкусняхи"/>
        <s v="Носки"/>
        <s v="Дезодорант"/>
        <s v="Сладости домой"/>
        <s v="Бургер Хероус"/>
        <s v="Телефон"/>
        <s v="Брату"/>
        <s v="Подарки 8 марта"/>
        <s v="4 лапы"/>
        <s v="Гель для волос"/>
        <s v="Кальян"/>
        <s v="Попкорн и газировка"/>
        <s v="Протеин"/>
        <s v="Шнурки"/>
        <s v="Парковка"/>
        <s v="Суп Фо бо"/>
        <s v="Мороженое"/>
        <s v="Ужин"/>
        <s v="Кафе"/>
        <s v="Другу"/>
        <s v="Фото на визу"/>
        <s v="Трусы"/>
        <s v="Духи"/>
        <s v="Тануки"/>
        <s v="Подарок дедушке"/>
        <s v="Спорт пит"/>
        <s v="За доставку"/>
        <s v="Стейки"/>
        <s v="Крафт репаблик"/>
        <s v="Друзьям"/>
        <s v="Кофе на всех"/>
        <s v="Энергетик"/>
        <s v="Книга"/>
        <s v="Кофе"/>
        <s v="Пиво в аэропорту"/>
        <s v="Шоколад"/>
        <s v="Подарок работа"/>
        <s v="Мираторг"/>
        <s v="Ополаскиватель"/>
        <s v="Футболка"/>
        <s v="Кеды"/>
        <s v="Бургерная"/>
        <s v="Гигиена"/>
        <s v="Для пасты и салата"/>
        <s v="Джинсы"/>
        <s v="Работа подарок"/>
        <s v="Вино и сыр"/>
        <s v="Хоз товары домой"/>
        <s v="Подарок Свадьба"/>
        <s v="Таблетки"/>
        <s v="Прочее"/>
        <s v="Сладости в дорогу"/>
        <s v="Окко ТВ"/>
        <s v="Пиццерия"/>
        <s v="Завтрак"/>
        <s v="Батончики"/>
        <s v="Мороженное"/>
        <s v="От комаров"/>
        <s v="ДоДо"/>
        <s v="Апероль"/>
        <s v="Шоколадки"/>
        <s v="На ДР другу"/>
        <s v="Подарки"/>
        <s v="В кино"/>
        <s v="Лекарствва"/>
        <s v="Eat and Talk"/>
        <s v="Суши"/>
        <s v="Тусовка"/>
        <s v="Парфюм"/>
        <s v="Паб"/>
        <s v="Плавки"/>
        <s v="Шорты"/>
        <s v="Бритье"/>
        <s v="Сок"/>
        <s v="Перекресток"/>
        <s v="Коктели"/>
        <m/>
      </sharedItems>
    </cacheField>
    <cacheField name="Категория" numFmtId="0">
      <sharedItems containsBlank="1">
        <s v="Транспорт"/>
        <s v="Рестораны"/>
        <s v="Еда"/>
        <s v="Алкоголь"/>
        <s v="Продукты"/>
        <s v="Здоровье, красота, гигиена"/>
        <s v="Кино, театры, музеи"/>
        <s v="Подарки"/>
        <s v="Творчество, книги, обучение"/>
        <m/>
        <s v="Прочее"/>
        <s v="Связь"/>
        <s v="Одежда"/>
      </sharedItems>
    </cacheField>
    <cacheField name="Подкатегория" numFmtId="0">
      <sharedItems containsBlank="1">
        <s v="Такси"/>
        <s v="Бар"/>
        <s v="Еда вне работы"/>
        <s v="Кальянная"/>
        <s v="Пиво"/>
        <s v="Фаст-Фуд"/>
        <s v="Вино"/>
        <m/>
        <s v="Перекус"/>
        <s v="Ресторан"/>
        <s v="Сладости"/>
        <s v="Сидр"/>
        <s v="Работа"/>
        <s v="Обед (работа)"/>
        <s v="Родственники"/>
        <s v="Электричка"/>
        <s v="Доставка"/>
        <s v="Друзья"/>
        <s v="Метро"/>
        <s v="Закуски"/>
        <s v="Бургерная"/>
        <s v="Автобус"/>
        <s v="Крепкое"/>
        <s v="Прочее"/>
      </sharedItems>
    </cacheField>
    <cacheField name="Стоимость">
      <sharedItems containsBlank="1" containsMixedTypes="1" containsNumber="1" containsInteger="1">
        <n v="676.0"/>
        <n v="900.0"/>
        <n v="700.0"/>
        <n v="350.0"/>
        <n v="600.0"/>
        <n v="250.0"/>
        <n v="690.0"/>
        <n v="550.0"/>
        <n v="500.0"/>
        <n v="400.0"/>
        <n v="200.0"/>
        <n v="750.0"/>
        <n v="800.0"/>
        <n v="300.0"/>
        <n v="136.0"/>
        <n v="146.0"/>
        <n v="50.0"/>
        <n v="1200.0"/>
        <n v="490.0"/>
        <n v="650.0"/>
        <n v="166.0"/>
        <n v="170.0"/>
        <n v="393.0"/>
        <n v="169.0"/>
        <n v="296.0"/>
        <n v="3000.0"/>
        <n v="88.0"/>
        <n v="1000.0"/>
        <n v="134.0"/>
        <n v="421.0"/>
        <n v="0.0"/>
        <n v="153.0"/>
        <s v="1 180"/>
        <n v="591.0"/>
        <n v="408.0"/>
        <n v="380.0"/>
        <n v="402.0"/>
        <n v="779.0"/>
        <s v="1 300"/>
        <s v="1 827"/>
        <n v="306.0"/>
        <n v="150.0"/>
        <n v="388.0"/>
        <n v="468.0"/>
        <n v="207.0"/>
        <n v="216.0"/>
        <n v="342.0"/>
        <n v="495.0"/>
        <n v="100.0"/>
        <n v="220.0"/>
        <n v="720.0"/>
        <n v="459.0"/>
        <n v="128.0"/>
        <n v="229.0"/>
        <n v="101.0"/>
        <n v="373.0"/>
        <n v="197.0"/>
        <n v="75.0"/>
        <s v="1 400"/>
        <n v="906.0"/>
        <n v="130.0"/>
        <n v="226.0"/>
        <n v="199.0"/>
        <n v="6400.0"/>
        <n v="461.0"/>
        <n v="222.0"/>
        <n v="297.0"/>
        <n v="450.0"/>
        <n v="832.0"/>
        <n v="604.0"/>
        <n v="361.0"/>
        <n v="206.0"/>
        <n v="172.0"/>
        <n v="179.0"/>
        <n v="559.0"/>
        <n v="394.0"/>
        <s v="5 000"/>
        <s v="13 350"/>
        <n v="419.0"/>
        <n v="330.0"/>
        <n v="115.0"/>
        <n v="418.0"/>
        <s v="1 366"/>
        <s v="1 600"/>
        <n v="1300.0"/>
        <n v="238.0"/>
        <s v="1 585"/>
        <s v="4 000"/>
        <s v="2 812"/>
        <n v="984.0"/>
        <n v="190.0"/>
        <n v="67.0"/>
        <n v="160.0"/>
        <n v="163.0"/>
        <s v="1 552"/>
        <s v="1 144"/>
        <n v="660.0"/>
        <n v="285.0"/>
        <n v="243.0"/>
        <s v="2 404"/>
        <n v="290.0"/>
        <n v="612.0"/>
        <n v="210.0"/>
        <s v="1 200"/>
        <n v="264.0"/>
        <n v="523.0"/>
        <s v="1 000"/>
        <s v="1 290"/>
        <n v="505.0"/>
        <s v="1 338,"/>
        <s v="2 707"/>
        <s v="2 182"/>
        <n v="564.0"/>
        <n v="214.0"/>
        <n v="152.0"/>
        <n v="164.0"/>
        <n v="288.0"/>
        <n v="360.0"/>
        <n v="355.0"/>
        <n v="72.0"/>
        <n v="242.0"/>
        <s v="2 000"/>
        <n v="224.0"/>
        <s v="1 055"/>
        <n v="260.0"/>
        <n v="211.0"/>
        <n v="126.0"/>
        <n v="241.0"/>
        <n v="239.0"/>
        <n v="583.0"/>
        <n v="205.0"/>
        <s v="1 436"/>
        <n v="269.0"/>
        <n v="445.0"/>
        <n v="374.0"/>
        <n v="141.0"/>
        <n v="270.0"/>
        <n v="622.0"/>
        <n v="980.0"/>
        <n v="129.0"/>
        <s v="1 258"/>
        <n v="685.0"/>
        <s v="1 390"/>
        <s v="2 500"/>
        <n v="521.0"/>
        <n v="370.0"/>
        <s v="2 270"/>
        <s v="3 500"/>
        <n v="194.0"/>
        <n v="790.0"/>
        <n v="140.0"/>
        <n v="377.0"/>
        <n v="1600.0"/>
        <n v="289.0"/>
        <n v="102.0"/>
        <n v="168.0"/>
        <n v="302.0"/>
        <n v="118.0"/>
        <n v="245.0"/>
        <n v="124.0"/>
        <n v="90.0"/>
        <n v="135.0"/>
        <n v="494.0"/>
        <n v="113.0"/>
        <n v="307.0"/>
        <n v="121.0"/>
        <n v="248.0"/>
        <n v="579.0"/>
        <n v="630.0"/>
        <n v="117.0"/>
        <n v="123.0"/>
        <n v="614.0"/>
        <n v="110.0"/>
        <n v="894.0"/>
        <n v="143.0"/>
        <n v="390.0"/>
        <n v="112.0"/>
        <n v="328.0"/>
        <n v="446.0"/>
        <n v="165.0"/>
        <n v="105.0"/>
        <n v="232.0"/>
        <n v="225.0"/>
        <n v="10000.0"/>
        <n v="266.0"/>
        <n v="237.0"/>
        <n v="310.0"/>
        <n v="534.0"/>
        <n v="120.0"/>
        <n v="384.0"/>
        <n v="1500.0"/>
        <n v="44.0"/>
        <n v="940.0"/>
        <n v="333.0"/>
        <n v="347.0"/>
        <n v="484.0"/>
        <n v="167.0"/>
        <n v="351.0"/>
        <n v="162.0"/>
        <n v="543.0"/>
        <n v="22.0"/>
        <n v="692.0"/>
        <n v="223.0"/>
        <n v="489.0"/>
        <n v="138.0"/>
        <n v="202.0"/>
        <n v="240.0"/>
        <n v="275.0"/>
        <n v="122.0"/>
        <n v="257.0"/>
        <n v="538.0"/>
        <n v="878.0"/>
        <n v="149.0"/>
        <n v="2000.0"/>
        <n v="2500.0"/>
        <n v="822.0"/>
        <n v="587.0"/>
        <n v="189.0"/>
        <n v="159.0"/>
        <n v="119.0"/>
        <n v="395.0"/>
        <n v="413.0"/>
        <n v="299.0"/>
        <n v="520.0"/>
        <n v="144.0"/>
        <n v="233.0"/>
        <n v="55.0"/>
        <n v="320.0"/>
        <n v="293.0"/>
        <n v="215.0"/>
        <n v="182.0"/>
        <n v="125.0"/>
        <n v="999.0"/>
        <n v="9000.0"/>
        <n v="79.0"/>
        <n v="235.0"/>
        <n v="340.0"/>
        <n v="76.0"/>
        <n v="137.0"/>
        <n v="460.0"/>
        <n v="755.0"/>
        <n v="433.0"/>
        <n v="950.0"/>
        <n v="212.0"/>
        <n v="325.0"/>
        <n v="208.0"/>
        <n v="518.0"/>
        <n v="4500.0"/>
        <n v="410.0"/>
        <n v="349.0"/>
        <n v="98.0"/>
        <n v="131.0"/>
        <n v="365.0"/>
        <n v="2700.0"/>
        <n v="272.0"/>
        <n v="1800.0"/>
        <n v="116.0"/>
        <n v="66.0"/>
        <n v="687.0"/>
        <n v="133.0"/>
        <n v="259.0"/>
        <n v="263.0"/>
        <n v="315.0"/>
        <n v="80.0"/>
        <n v="473.0"/>
        <n v="70.0"/>
        <n v="348.0"/>
        <n v="527.0"/>
        <n v="198.0"/>
        <n v="353.0"/>
        <n v="465.0"/>
        <n v="261.0"/>
        <n v="560.0"/>
        <n v="935.0"/>
        <n v="847.0"/>
        <n v="680.0"/>
        <n v="324.0"/>
        <n v="158.0"/>
        <n v="486.0"/>
        <n v="142.0"/>
        <n v="602.0"/>
        <n v="175.0"/>
        <n v="488.0"/>
        <n v="449.0"/>
        <n v="132.0"/>
        <n v="218.0"/>
        <n v="209.0"/>
        <n v="276.0"/>
        <n v="485.0"/>
        <n v="549.0"/>
        <n v="2100.0"/>
        <n v="111.0"/>
        <n v="510.0"/>
        <n v="298.0"/>
        <n v="6000.0"/>
        <n v="178.0"/>
        <n v="109.0"/>
        <n v="525.0"/>
        <n v="501.0"/>
        <n v="499.0"/>
        <n v="671.0"/>
        <n v="795.0"/>
        <n v="316.0"/>
        <n v="279.0"/>
        <n v="357.0"/>
        <n v="1100.0"/>
        <n v="920.0"/>
        <n v="1400.0"/>
        <n v="87.0"/>
        <n v="354.0"/>
        <n v="292.0"/>
        <n v="417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Дашборд" cacheId="0" dataCaption="" compact="0" compactData="0">
  <location ref="B23:D36" firstHeaderRow="0" firstDataRow="2" firstDataCol="0"/>
  <pivotFields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Дата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Наименование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Катег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h="1" x="9"/>
        <item x="10"/>
        <item x="11"/>
        <item x="12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Подкатег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Стоимость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</pivotFields>
  <rowFields>
    <field x="3"/>
  </rowFields>
  <colFields>
    <field x="-2"/>
  </colFields>
  <dataFields>
    <dataField name="SUM" fld="5" baseField="0"/>
    <dataField name="%" fld="5" showDataAs="percentOfCol" baseField="0" numFmtId="1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Дашборд 2" cacheId="0" dataCaption="" compact="0" compactData="0">
  <location ref="B52:I66" firstHeaderRow="0" firstDataRow="1" firstDataCol="1"/>
  <pivotFields>
    <pivotField name="Month" axis="axisCol" compact="0" outline="0" multipleItemSelectionAllowed="1" showAll="0" sortType="ascending">
      <items>
        <item x="7"/>
        <item x="0"/>
        <item x="1"/>
        <item x="2"/>
        <item x="3"/>
        <item x="4"/>
        <item x="5"/>
        <item x="6"/>
        <item t="default"/>
      </items>
    </pivotField>
    <pivotField name="Дата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t="default"/>
      </items>
    </pivotField>
    <pivotField name="Наименование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t="default"/>
      </items>
    </pivotField>
    <pivotField name="Категория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h="1" x="9"/>
        <item x="10"/>
        <item x="11"/>
        <item x="1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Подкатегория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Стоимость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t="default"/>
      </items>
    </pivotField>
  </pivotFields>
  <rowFields>
    <field x="3"/>
  </rowFields>
  <colFields>
    <field x="0"/>
  </colFields>
  <dataFields>
    <dataField name="SUM of Стоимость" fld="5" baseField="0"/>
  </dataFields>
  <pivotTableStyleInfo name="Google Sheets Pivot Table Style" showRowHeaders="1" showColHeaders="1" showLastColumn="1"/>
</pivotTableDefinition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63"/>
    <col customWidth="1" min="2" max="2" width="26.13"/>
    <col customWidth="1" min="3" max="3" width="15.38"/>
    <col customWidth="1" min="4" max="4" width="17.38"/>
    <col customWidth="1" min="6" max="6" width="7.75"/>
    <col customWidth="1" min="7" max="7" width="12.25"/>
    <col customWidth="1" min="8" max="8" width="14.88"/>
    <col customWidth="1" min="9" max="9" width="12.13"/>
    <col customWidth="1" min="11" max="11" width="11.63"/>
    <col customWidth="1" min="13" max="13" width="7.5"/>
    <col customWidth="1" min="14" max="14" width="20.25"/>
    <col customWidth="1" min="16" max="16" width="9.75"/>
  </cols>
  <sheetData>
    <row r="2">
      <c r="B2" s="1" t="s">
        <v>0</v>
      </c>
      <c r="D2" s="2">
        <f>MAX('Повседневные'!C:C)</f>
        <v>43279</v>
      </c>
    </row>
    <row r="3">
      <c r="B3" s="3" t="s">
        <v>1</v>
      </c>
      <c r="C3" s="4"/>
      <c r="D3" s="5">
        <f>H66/DAY(D2)</f>
        <v>2351.964286</v>
      </c>
      <c r="E3" s="6" t="str">
        <f>IF(D3&gt;D4,"ТРАНЖИРА","В НОРМЕ")</f>
        <v>ТРАНЖИРА</v>
      </c>
      <c r="F3" s="4"/>
      <c r="G3" s="4"/>
    </row>
    <row r="4">
      <c r="B4" s="1" t="s">
        <v>2</v>
      </c>
      <c r="D4" s="1">
        <v>2000.0</v>
      </c>
    </row>
    <row r="22">
      <c r="G22" s="7"/>
    </row>
    <row r="23">
      <c r="E23" s="10" t="s">
        <v>6</v>
      </c>
      <c r="G23" s="11" t="s">
        <v>7</v>
      </c>
      <c r="H23" s="12" t="s">
        <v>8</v>
      </c>
      <c r="I23" s="13" t="s">
        <v>9</v>
      </c>
      <c r="J23" s="14" t="s">
        <v>10</v>
      </c>
      <c r="K23" s="15" t="s">
        <v>11</v>
      </c>
      <c r="L23" s="16" t="s">
        <v>12</v>
      </c>
      <c r="N23" s="17" t="s">
        <v>13</v>
      </c>
      <c r="O23" s="18">
        <f>H36</f>
        <v>324074</v>
      </c>
      <c r="P23" s="19" t="s">
        <v>14</v>
      </c>
    </row>
    <row r="24">
      <c r="E24" s="23">
        <f t="shared" ref="E24:E35" si="1">D24*$O$31</f>
        <v>10398.74064</v>
      </c>
      <c r="G24" s="24" t="s">
        <v>16</v>
      </c>
      <c r="H24" s="25">
        <f t="array" ref="H24:H35">TRANSPOSE(C72:N72)</f>
        <v>47443</v>
      </c>
      <c r="I24" s="25">
        <f t="array" ref="I24:I35">TRANSPOSE(C69:N69)</f>
        <v>1530.419355</v>
      </c>
      <c r="J24" s="25">
        <f t="array" ref="J24:J35">TRANSPOSE(C73:N73)</f>
        <v>20000</v>
      </c>
      <c r="K24" s="25">
        <f t="array" ref="K24:K35">TRANSPOSE(C74:N74)</f>
        <v>37500</v>
      </c>
      <c r="L24" s="26">
        <f t="array" ref="L24:L35">TRANSPOSE(C75:N75)</f>
        <v>104943</v>
      </c>
      <c r="N24" s="27" t="s">
        <v>17</v>
      </c>
      <c r="O24" s="18">
        <f>J36</f>
        <v>113800</v>
      </c>
      <c r="P24" s="19" t="s">
        <v>14</v>
      </c>
    </row>
    <row r="25">
      <c r="E25" s="31">
        <f t="shared" si="1"/>
        <v>8706.343633</v>
      </c>
      <c r="G25" s="32" t="s">
        <v>19</v>
      </c>
      <c r="H25" s="33">
        <v>17025.0</v>
      </c>
      <c r="I25" s="33">
        <v>1151.2142857142858</v>
      </c>
      <c r="J25" s="33">
        <v>18000.0</v>
      </c>
      <c r="K25" s="33">
        <v>43500.0</v>
      </c>
      <c r="L25" s="34">
        <v>78525.0</v>
      </c>
      <c r="N25" s="35" t="s">
        <v>20</v>
      </c>
      <c r="O25" s="36">
        <f>K36</f>
        <v>267300</v>
      </c>
      <c r="P25" s="37" t="s">
        <v>14</v>
      </c>
    </row>
    <row r="26">
      <c r="E26" s="41">
        <f t="shared" si="1"/>
        <v>7702.080993</v>
      </c>
      <c r="G26" s="24" t="s">
        <v>22</v>
      </c>
      <c r="H26" s="25">
        <v>59263.0</v>
      </c>
      <c r="I26" s="25">
        <v>1330.4408602150536</v>
      </c>
      <c r="J26" s="25">
        <v>9000.0</v>
      </c>
      <c r="K26" s="25">
        <v>37900.0</v>
      </c>
      <c r="L26" s="26">
        <v>106163.0</v>
      </c>
      <c r="N26" s="42" t="s">
        <v>23</v>
      </c>
      <c r="O26" s="43">
        <f>L36</f>
        <v>705174</v>
      </c>
      <c r="P26" s="37" t="s">
        <v>14</v>
      </c>
    </row>
    <row r="27">
      <c r="E27" s="46">
        <f t="shared" si="1"/>
        <v>7522.144195</v>
      </c>
      <c r="G27" s="32" t="s">
        <v>25</v>
      </c>
      <c r="H27" s="33">
        <v>84558.0</v>
      </c>
      <c r="I27" s="33">
        <v>1735.7416666666666</v>
      </c>
      <c r="J27" s="33">
        <v>38000.0</v>
      </c>
      <c r="K27" s="33">
        <v>75700.0</v>
      </c>
      <c r="L27" s="34">
        <v>198258.0</v>
      </c>
    </row>
    <row r="28">
      <c r="E28" s="46">
        <f t="shared" si="1"/>
        <v>5213.04073</v>
      </c>
      <c r="G28" s="24" t="s">
        <v>27</v>
      </c>
      <c r="H28" s="25">
        <v>49930.0</v>
      </c>
      <c r="I28" s="25">
        <v>1665.9290322580646</v>
      </c>
      <c r="J28" s="25">
        <v>13300.0</v>
      </c>
      <c r="K28" s="25">
        <v>37700.0</v>
      </c>
      <c r="L28" s="26">
        <v>100930.0</v>
      </c>
      <c r="N28" s="19" t="s">
        <v>28</v>
      </c>
      <c r="O28" s="18">
        <f>(MAX('Повседневные'!C:C)-'Повседневные'!C2)+1</f>
        <v>178</v>
      </c>
      <c r="P28" s="19" t="s">
        <v>29</v>
      </c>
    </row>
    <row r="29">
      <c r="E29" s="46">
        <f t="shared" si="1"/>
        <v>4573.60721</v>
      </c>
      <c r="F29" s="47" t="s">
        <v>31</v>
      </c>
      <c r="G29" s="48" t="s">
        <v>32</v>
      </c>
      <c r="H29" s="49">
        <v>65855.0</v>
      </c>
      <c r="I29" s="49">
        <v>1800.4111111111113</v>
      </c>
      <c r="J29" s="49">
        <v>15500.0</v>
      </c>
      <c r="K29" s="49">
        <v>35000.0</v>
      </c>
      <c r="L29" s="50">
        <v>116355.0</v>
      </c>
      <c r="N29" s="51" t="s">
        <v>33</v>
      </c>
      <c r="O29" s="52">
        <f>COUNTIF('Повседневные'!D:D,"Нет расходов")</f>
        <v>16</v>
      </c>
      <c r="P29" s="19" t="s">
        <v>29</v>
      </c>
    </row>
    <row r="30">
      <c r="E30" s="46">
        <f t="shared" si="1"/>
        <v>4571.727528</v>
      </c>
      <c r="G30" s="24" t="s">
        <v>35</v>
      </c>
      <c r="H30" s="25"/>
      <c r="I30" s="25"/>
      <c r="J30" s="25"/>
      <c r="K30" s="25"/>
      <c r="L30" s="26"/>
      <c r="N30" s="19" t="s">
        <v>36</v>
      </c>
      <c r="O30" s="53">
        <f>O23/O28</f>
        <v>1820.640449</v>
      </c>
      <c r="P30" s="19" t="s">
        <v>14</v>
      </c>
    </row>
    <row r="31">
      <c r="E31" s="46">
        <f t="shared" si="1"/>
        <v>4283.110955</v>
      </c>
      <c r="G31" s="32" t="s">
        <v>38</v>
      </c>
      <c r="H31" s="33"/>
      <c r="I31" s="33"/>
      <c r="J31" s="33"/>
      <c r="K31" s="33"/>
      <c r="L31" s="34"/>
      <c r="N31" s="19" t="s">
        <v>39</v>
      </c>
      <c r="O31" s="18">
        <f>O30*AVERAGE('Справочники'!C29:C40)</f>
        <v>55377.81367</v>
      </c>
      <c r="P31" s="19" t="s">
        <v>14</v>
      </c>
    </row>
    <row r="32">
      <c r="E32" s="46">
        <f t="shared" si="1"/>
        <v>1043.394195</v>
      </c>
      <c r="G32" s="24" t="s">
        <v>41</v>
      </c>
      <c r="H32" s="25"/>
      <c r="I32" s="25"/>
      <c r="J32" s="25"/>
      <c r="K32" s="25"/>
      <c r="L32" s="26"/>
      <c r="N32" s="19" t="s">
        <v>42</v>
      </c>
      <c r="O32" s="18">
        <f>((O23+O24)/O28)*AVERAGE('Справочники'!C29:C40)</f>
        <v>74823.97472</v>
      </c>
      <c r="P32" s="19" t="s">
        <v>14</v>
      </c>
    </row>
    <row r="33">
      <c r="E33" s="46">
        <f t="shared" si="1"/>
        <v>666.4325843</v>
      </c>
      <c r="G33" s="32" t="s">
        <v>44</v>
      </c>
      <c r="H33" s="33"/>
      <c r="I33" s="33"/>
      <c r="J33" s="33"/>
      <c r="K33" s="33"/>
      <c r="L33" s="34"/>
      <c r="N33" s="19" t="s">
        <v>45</v>
      </c>
      <c r="O33" s="18">
        <f>((O23+O24+O25)/O28)*AVERAGE('Справочники'!C29:C40)</f>
        <v>120500.2388</v>
      </c>
      <c r="P33" s="19" t="s">
        <v>14</v>
      </c>
    </row>
    <row r="34">
      <c r="E34" s="46">
        <f t="shared" si="1"/>
        <v>525.4564607</v>
      </c>
      <c r="G34" s="24" t="s">
        <v>47</v>
      </c>
      <c r="H34" s="25"/>
      <c r="I34" s="25"/>
      <c r="J34" s="25"/>
      <c r="K34" s="25"/>
      <c r="L34" s="26"/>
    </row>
    <row r="35">
      <c r="E35" s="54">
        <f t="shared" si="1"/>
        <v>171.7345506</v>
      </c>
      <c r="G35" s="32" t="s">
        <v>49</v>
      </c>
      <c r="H35" s="33"/>
      <c r="I35" s="33"/>
      <c r="J35" s="33"/>
      <c r="K35" s="33"/>
      <c r="L35" s="34"/>
    </row>
    <row r="36">
      <c r="E36" s="55">
        <f>SUM(E24:E35)</f>
        <v>55377.81367</v>
      </c>
      <c r="G36" s="56" t="s">
        <v>50</v>
      </c>
      <c r="H36" s="57">
        <f>SUM(H24:H35)</f>
        <v>324074</v>
      </c>
      <c r="I36" s="57">
        <f>AVERAGE(I24:I35)</f>
        <v>1535.692718</v>
      </c>
      <c r="J36" s="57">
        <f t="shared" ref="J36:L36" si="2">SUM(J24:J35)</f>
        <v>113800</v>
      </c>
      <c r="K36" s="57">
        <f t="shared" si="2"/>
        <v>267300</v>
      </c>
      <c r="L36" s="57">
        <f t="shared" si="2"/>
        <v>705174</v>
      </c>
    </row>
    <row r="37">
      <c r="C37" s="44"/>
      <c r="D37" s="45"/>
    </row>
    <row r="38">
      <c r="B38" s="58" t="s">
        <v>51</v>
      </c>
    </row>
    <row r="39">
      <c r="B39" s="59" t="s">
        <v>52</v>
      </c>
      <c r="C39" s="59" t="s">
        <v>53</v>
      </c>
      <c r="D39" s="59" t="s">
        <v>54</v>
      </c>
      <c r="E39" s="59"/>
    </row>
    <row r="40">
      <c r="B40" s="60" t="s">
        <v>55</v>
      </c>
      <c r="C40" s="61">
        <f>SUMIF('Повседневные'!A:A,2,'Повседневные'!G:G)</f>
        <v>45959</v>
      </c>
      <c r="D40" s="62">
        <f t="shared" ref="D40:D46" si="3">C40/SUM($C$40:$C$46)</f>
        <v>0.1418163753</v>
      </c>
      <c r="E40" s="62"/>
    </row>
    <row r="41">
      <c r="B41" s="60" t="s">
        <v>56</v>
      </c>
      <c r="C41" s="61">
        <f>SUMIF('Повседневные'!A:A,3,'Повседневные'!G:G)</f>
        <v>33821</v>
      </c>
      <c r="D41" s="62">
        <f t="shared" si="3"/>
        <v>0.1043619667</v>
      </c>
      <c r="E41" s="62"/>
    </row>
    <row r="42">
      <c r="B42" s="60" t="s">
        <v>57</v>
      </c>
      <c r="C42" s="61">
        <f>SUMIF('Повседневные'!A:A,4,'Повседневные'!G:G)</f>
        <v>34543</v>
      </c>
      <c r="D42" s="62">
        <f t="shared" si="3"/>
        <v>0.1065898529</v>
      </c>
      <c r="E42" s="62"/>
    </row>
    <row r="43">
      <c r="B43" s="60" t="s">
        <v>58</v>
      </c>
      <c r="C43" s="61">
        <f>SUMIF('Повседневные'!A:A,5,'Повседневные'!G:G)</f>
        <v>37606</v>
      </c>
      <c r="D43" s="62">
        <f t="shared" si="3"/>
        <v>0.116041398</v>
      </c>
      <c r="E43" s="62"/>
    </row>
    <row r="44">
      <c r="B44" s="60" t="s">
        <v>59</v>
      </c>
      <c r="C44" s="61">
        <f>SUMIF('Повседневные'!A:A,6,'Повседневные'!G:G)</f>
        <v>72854</v>
      </c>
      <c r="D44" s="62">
        <f t="shared" si="3"/>
        <v>0.22480668</v>
      </c>
      <c r="E44" s="62"/>
    </row>
    <row r="45">
      <c r="B45" s="63" t="s">
        <v>60</v>
      </c>
      <c r="C45" s="64">
        <f>SUMIF('Повседневные'!A:A,7,'Повседневные'!G:G)</f>
        <v>45618</v>
      </c>
      <c r="D45" s="65">
        <f t="shared" si="3"/>
        <v>0.1407641465</v>
      </c>
      <c r="E45" s="65"/>
    </row>
    <row r="46">
      <c r="B46" s="63" t="s">
        <v>61</v>
      </c>
      <c r="C46" s="64">
        <f>SUMIF('Повседневные'!A:A,1,'Повседневные'!G:G)</f>
        <v>53673</v>
      </c>
      <c r="D46" s="65">
        <f t="shared" si="3"/>
        <v>0.1656195807</v>
      </c>
      <c r="E46" s="65"/>
    </row>
    <row r="47">
      <c r="B47" s="66" t="s">
        <v>62</v>
      </c>
      <c r="C47" s="67">
        <f>SUM(C40:C44)</f>
        <v>224783</v>
      </c>
      <c r="D47" s="68">
        <f>C47/SUM(C40:C46)</f>
        <v>0.6936162728</v>
      </c>
      <c r="E47" s="68"/>
    </row>
    <row r="48">
      <c r="B48" s="66" t="s">
        <v>63</v>
      </c>
      <c r="C48" s="67">
        <f>C45+C46</f>
        <v>99291</v>
      </c>
      <c r="D48" s="68">
        <f>C48/SUM(C40:C46)</f>
        <v>0.3063837272</v>
      </c>
      <c r="E48" s="68"/>
      <c r="N48" s="69"/>
    </row>
    <row r="50">
      <c r="B50" s="1" t="s">
        <v>64</v>
      </c>
    </row>
    <row r="51">
      <c r="B51" s="70" t="s">
        <v>65</v>
      </c>
      <c r="C51" s="71">
        <v>1.0</v>
      </c>
      <c r="D51" s="71">
        <v>2.0</v>
      </c>
      <c r="E51" s="71">
        <v>3.0</v>
      </c>
      <c r="F51" s="71">
        <v>4.0</v>
      </c>
      <c r="G51" s="71">
        <v>5.0</v>
      </c>
      <c r="H51" s="71">
        <v>6.0</v>
      </c>
      <c r="I51" s="72"/>
      <c r="J51" s="73"/>
      <c r="K51" s="73"/>
      <c r="L51" s="73"/>
      <c r="M51" s="73"/>
      <c r="N51" s="73"/>
      <c r="O51" s="73"/>
      <c r="P51" s="73"/>
    </row>
    <row r="52">
      <c r="J52" s="73"/>
      <c r="K52" s="73"/>
      <c r="L52" s="73"/>
      <c r="M52" s="73"/>
      <c r="N52" s="73"/>
      <c r="O52" s="73"/>
      <c r="P52" s="73"/>
    </row>
    <row r="53">
      <c r="J53" s="73"/>
      <c r="K53" s="73"/>
      <c r="L53" s="73"/>
      <c r="M53" s="73"/>
      <c r="N53" s="73"/>
      <c r="O53" s="73"/>
      <c r="P53" s="73"/>
    </row>
    <row r="54">
      <c r="J54" s="73"/>
      <c r="K54" s="73"/>
      <c r="L54" s="73"/>
      <c r="M54" s="73"/>
      <c r="N54" s="73"/>
      <c r="O54" s="73"/>
      <c r="P54" s="73"/>
    </row>
    <row r="55">
      <c r="J55" s="73"/>
      <c r="K55" s="73"/>
      <c r="L55" s="73"/>
      <c r="M55" s="73"/>
      <c r="N55" s="73"/>
      <c r="O55" s="73"/>
      <c r="P55" s="73"/>
    </row>
    <row r="56">
      <c r="J56" s="73"/>
      <c r="K56" s="73"/>
      <c r="L56" s="73"/>
      <c r="M56" s="73"/>
      <c r="N56" s="73"/>
      <c r="O56" s="73"/>
      <c r="P56" s="73"/>
    </row>
    <row r="57">
      <c r="J57" s="73"/>
      <c r="K57" s="73"/>
      <c r="L57" s="73"/>
      <c r="M57" s="73"/>
      <c r="N57" s="73"/>
      <c r="O57" s="73"/>
      <c r="P57" s="73"/>
    </row>
    <row r="58">
      <c r="J58" s="73"/>
      <c r="K58" s="73"/>
      <c r="L58" s="73"/>
      <c r="M58" s="73"/>
      <c r="N58" s="73"/>
      <c r="O58" s="73"/>
      <c r="P58" s="73"/>
    </row>
    <row r="59">
      <c r="J59" s="73"/>
      <c r="K59" s="73"/>
      <c r="L59" s="73"/>
      <c r="M59" s="73"/>
      <c r="N59" s="73"/>
      <c r="O59" s="73"/>
      <c r="P59" s="73"/>
    </row>
    <row r="60">
      <c r="J60" s="73"/>
      <c r="K60" s="73"/>
      <c r="L60" s="73"/>
      <c r="M60" s="73"/>
      <c r="N60" s="73"/>
      <c r="O60" s="73"/>
      <c r="P60" s="73"/>
    </row>
    <row r="61">
      <c r="J61" s="73"/>
      <c r="K61" s="73"/>
      <c r="L61" s="73"/>
      <c r="M61" s="73"/>
      <c r="N61" s="73"/>
      <c r="O61" s="73"/>
      <c r="P61" s="73"/>
    </row>
    <row r="62">
      <c r="J62" s="73"/>
      <c r="K62" s="73"/>
      <c r="L62" s="73"/>
      <c r="M62" s="73"/>
      <c r="N62" s="73"/>
      <c r="O62" s="73"/>
      <c r="P62" s="73"/>
    </row>
    <row r="63">
      <c r="J63" s="73"/>
      <c r="K63" s="73"/>
      <c r="L63" s="73"/>
      <c r="M63" s="73"/>
      <c r="N63" s="73"/>
      <c r="O63" s="73"/>
      <c r="P63" s="73"/>
    </row>
    <row r="64">
      <c r="J64" s="73"/>
      <c r="K64" s="73"/>
      <c r="L64" s="73"/>
      <c r="M64" s="73"/>
      <c r="N64" s="73"/>
      <c r="O64" s="73"/>
      <c r="P64" s="73"/>
    </row>
    <row r="65">
      <c r="J65" s="73"/>
      <c r="K65" s="73"/>
      <c r="L65" s="73"/>
      <c r="M65" s="73"/>
      <c r="N65" s="73"/>
      <c r="O65" s="73"/>
      <c r="P65" s="73"/>
    </row>
    <row r="66">
      <c r="J66" s="73"/>
      <c r="K66" s="73"/>
      <c r="L66" s="73"/>
      <c r="M66" s="73"/>
      <c r="N66" s="73"/>
      <c r="O66" s="73"/>
      <c r="P66" s="73"/>
    </row>
    <row r="67">
      <c r="I67" s="1" t="s">
        <v>68</v>
      </c>
    </row>
    <row r="68">
      <c r="B68" s="1" t="s">
        <v>69</v>
      </c>
      <c r="C68" s="45">
        <f t="shared" ref="C68:H68" si="4">C66/$O$31</f>
        <v>0.8567149343</v>
      </c>
      <c r="D68" s="45">
        <f t="shared" si="4"/>
        <v>0.3074335889</v>
      </c>
      <c r="E68" s="45">
        <f t="shared" si="4"/>
        <v>1.070157814</v>
      </c>
      <c r="F68" s="45">
        <f t="shared" si="4"/>
        <v>1.526929187</v>
      </c>
      <c r="G68" s="45">
        <f t="shared" si="4"/>
        <v>0.9016246163</v>
      </c>
      <c r="H68" s="45">
        <f t="shared" si="4"/>
        <v>1.189194655</v>
      </c>
      <c r="I68" s="73"/>
      <c r="J68" s="73"/>
      <c r="K68" s="73"/>
      <c r="L68" s="73"/>
      <c r="M68" s="73"/>
      <c r="N68" s="73"/>
      <c r="O68" s="73"/>
      <c r="P68" s="73"/>
    </row>
    <row r="69">
      <c r="B69" s="1" t="s">
        <v>39</v>
      </c>
      <c r="C69" s="44">
        <f>C70/VLOOKUP(C53,'Справочники'!$A$28:$C$40,3)</f>
        <v>1530.419355</v>
      </c>
      <c r="D69" s="44">
        <f>D70/VLOOKUP(D53,'Справочники'!$A$28:$C$40,3)</f>
        <v>1151.214286</v>
      </c>
      <c r="E69" s="44">
        <f>E70/VLOOKUP(E53,'Справочники'!$A$28:$C$40,3)</f>
        <v>1330.44086</v>
      </c>
      <c r="F69" s="44">
        <f>F70/VLOOKUP(F53,'Справочники'!$A$28:$C$40,3)</f>
        <v>1735.741667</v>
      </c>
      <c r="G69" s="44">
        <f>G70/VLOOKUP(G53,'Справочники'!$A$28:$C$40,3)</f>
        <v>1665.929032</v>
      </c>
      <c r="H69" s="44">
        <f>H70/VLOOKUP(H53,'Справочники'!$A$28:$C$40,3)</f>
        <v>1800.411111</v>
      </c>
      <c r="I69" s="73"/>
      <c r="J69" s="79"/>
      <c r="K69" s="73"/>
      <c r="L69" s="73"/>
      <c r="M69" s="73"/>
      <c r="N69" s="73"/>
      <c r="O69" s="73"/>
      <c r="P69" s="73"/>
    </row>
    <row r="70">
      <c r="B70" s="24" t="s">
        <v>70</v>
      </c>
      <c r="C70" s="80">
        <f>C66</f>
        <v>47443</v>
      </c>
      <c r="D70" s="80">
        <f t="shared" ref="D70:H70" si="5">SUM($C$66:D66)/D51</f>
        <v>32234</v>
      </c>
      <c r="E70" s="80">
        <f t="shared" si="5"/>
        <v>41243.66667</v>
      </c>
      <c r="F70" s="80">
        <f t="shared" si="5"/>
        <v>52072.25</v>
      </c>
      <c r="G70" s="80">
        <f t="shared" si="5"/>
        <v>51643.8</v>
      </c>
      <c r="H70" s="80">
        <f t="shared" si="5"/>
        <v>54012.33333</v>
      </c>
      <c r="I70" s="73"/>
      <c r="J70" s="73"/>
      <c r="K70" s="73"/>
      <c r="L70" s="73"/>
      <c r="M70" s="73"/>
      <c r="N70" s="73"/>
      <c r="O70" s="73"/>
      <c r="P70" s="73"/>
    </row>
    <row r="72">
      <c r="B72" s="81" t="s">
        <v>8</v>
      </c>
      <c r="C72" s="82">
        <f t="shared" ref="C72:H72" si="6">C66</f>
        <v>47443</v>
      </c>
      <c r="D72" s="82">
        <f t="shared" si="6"/>
        <v>17025</v>
      </c>
      <c r="E72" s="82">
        <f t="shared" si="6"/>
        <v>59263</v>
      </c>
      <c r="F72" s="82">
        <f t="shared" si="6"/>
        <v>84558</v>
      </c>
      <c r="G72" s="82">
        <f t="shared" si="6"/>
        <v>49930</v>
      </c>
      <c r="H72" s="82">
        <f t="shared" si="6"/>
        <v>65855</v>
      </c>
      <c r="I72" s="73"/>
      <c r="J72" s="73"/>
      <c r="K72" s="73"/>
      <c r="L72" s="73"/>
      <c r="M72" s="73"/>
      <c r="N72" s="73"/>
      <c r="O72" s="73"/>
      <c r="P72" s="73"/>
    </row>
    <row r="73">
      <c r="B73" s="83" t="s">
        <v>71</v>
      </c>
      <c r="C73" s="84">
        <f>SUMIF('Крупные'!$B:$B,C53,'Крупные'!$E:$E)</f>
        <v>20000</v>
      </c>
      <c r="D73" s="84">
        <f>SUMIF('Крупные'!$B:$B,D53,'Крупные'!$E:$E)</f>
        <v>18000</v>
      </c>
      <c r="E73" s="84">
        <f>SUMIF('Крупные'!$B:$B,E53,'Крупные'!$E:$E)</f>
        <v>9000</v>
      </c>
      <c r="F73" s="84">
        <f>SUMIF('Крупные'!$B:$B,F53,'Крупные'!$E:$E)</f>
        <v>38000</v>
      </c>
      <c r="G73" s="84">
        <f>SUMIF('Крупные'!$B:$B,G53,'Крупные'!$E:$E)</f>
        <v>13300</v>
      </c>
      <c r="H73" s="84">
        <f>SUMIF('Крупные'!$B:$B,H53,'Крупные'!$E:$E)</f>
        <v>15500</v>
      </c>
      <c r="I73" s="73"/>
      <c r="J73" s="73"/>
      <c r="K73" s="73"/>
      <c r="L73" s="73"/>
      <c r="M73" s="73"/>
      <c r="N73" s="73"/>
      <c r="O73" s="73"/>
      <c r="P73" s="73"/>
    </row>
    <row r="74">
      <c r="B74" s="85" t="s">
        <v>11</v>
      </c>
      <c r="C74" s="86">
        <f>SUMIF('Квартира'!$B:$B,C53,'Квартира'!$F:$F)</f>
        <v>37500</v>
      </c>
      <c r="D74" s="86">
        <f>SUMIF('Квартира'!$B:$B,D53,'Квартира'!$F:$F)</f>
        <v>43500</v>
      </c>
      <c r="E74" s="86">
        <f>SUMIF('Квартира'!$B:$B,E53,'Квартира'!$F:$F)</f>
        <v>37900</v>
      </c>
      <c r="F74" s="86">
        <f>SUMIF('Квартира'!$B:$B,F53,'Квартира'!$F:$F)</f>
        <v>75700</v>
      </c>
      <c r="G74" s="86">
        <f>SUMIF('Квартира'!$B:$B,G53,'Квартира'!$F:$F)</f>
        <v>37700</v>
      </c>
      <c r="H74" s="86">
        <f>SUMIF('Квартира'!$B:$B,H53,'Квартира'!$F:$F)</f>
        <v>35000</v>
      </c>
      <c r="I74" s="73"/>
      <c r="J74" s="73"/>
      <c r="K74" s="73"/>
      <c r="L74" s="73"/>
      <c r="M74" s="73"/>
      <c r="N74" s="73"/>
      <c r="O74" s="73"/>
      <c r="P74" s="73"/>
    </row>
    <row r="75">
      <c r="B75" s="87" t="s">
        <v>72</v>
      </c>
      <c r="C75" s="88">
        <f t="shared" ref="C75:H75" si="7">C66+C73+C74</f>
        <v>104943</v>
      </c>
      <c r="D75" s="88">
        <f t="shared" si="7"/>
        <v>78525</v>
      </c>
      <c r="E75" s="88">
        <f t="shared" si="7"/>
        <v>106163</v>
      </c>
      <c r="F75" s="88">
        <f t="shared" si="7"/>
        <v>198258</v>
      </c>
      <c r="G75" s="88">
        <f t="shared" si="7"/>
        <v>100930</v>
      </c>
      <c r="H75" s="88">
        <f t="shared" si="7"/>
        <v>116355</v>
      </c>
      <c r="I75" s="73"/>
      <c r="J75" s="73"/>
      <c r="K75" s="73"/>
      <c r="L75" s="73"/>
      <c r="M75" s="73"/>
      <c r="N75" s="73"/>
      <c r="O75" s="73"/>
      <c r="P75" s="73"/>
    </row>
  </sheetData>
  <conditionalFormatting sqref="C68:H68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54:H65">
    <cfRule type="colorScale" priority="2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5"/>
    <col customWidth="1" min="2" max="2" width="8.0"/>
    <col customWidth="1" min="3" max="3" width="14.0"/>
    <col customWidth="1" min="4" max="4" width="20.5"/>
    <col customWidth="1" min="5" max="5" width="27.75"/>
    <col customWidth="1" min="6" max="6" width="22.13"/>
    <col customWidth="1" min="8" max="8" width="31.25"/>
  </cols>
  <sheetData>
    <row r="1">
      <c r="A1" s="89" t="s">
        <v>73</v>
      </c>
      <c r="B1" s="89" t="s">
        <v>67</v>
      </c>
      <c r="C1" s="89" t="s">
        <v>74</v>
      </c>
      <c r="D1" s="89" t="s">
        <v>75</v>
      </c>
      <c r="E1" s="89" t="s">
        <v>3</v>
      </c>
      <c r="F1" s="89" t="s">
        <v>76</v>
      </c>
      <c r="G1" s="90" t="s">
        <v>77</v>
      </c>
      <c r="H1" s="89" t="s">
        <v>78</v>
      </c>
      <c r="I1" s="87" t="s">
        <v>79</v>
      </c>
      <c r="J1" s="91"/>
      <c r="K1" s="91"/>
      <c r="L1" s="91"/>
      <c r="M1" s="91"/>
      <c r="N1" s="91"/>
      <c r="O1" s="91"/>
      <c r="P1" s="91"/>
    </row>
    <row r="2">
      <c r="A2" s="92">
        <f t="shared" ref="A2:A950" si="1">WEEKDAY(C2)</f>
        <v>3</v>
      </c>
      <c r="B2" s="92">
        <f t="shared" ref="B2:B950" si="2">MONTH(C2)</f>
        <v>1</v>
      </c>
      <c r="C2" s="93">
        <v>43102.0</v>
      </c>
      <c r="D2" s="94" t="s">
        <v>80</v>
      </c>
      <c r="E2" s="94" t="s">
        <v>24</v>
      </c>
      <c r="F2" s="94" t="s">
        <v>80</v>
      </c>
      <c r="G2" s="95">
        <v>676.0</v>
      </c>
      <c r="H2" s="96"/>
      <c r="I2" s="97" t="str">
        <f t="shared" ref="I2:I950" si="3">IFERROR(INDIRECT(E2),"")</f>
        <v>Такси</v>
      </c>
      <c r="J2" s="97" t="s">
        <v>81</v>
      </c>
      <c r="K2" s="97" t="s">
        <v>82</v>
      </c>
      <c r="L2" s="97" t="s">
        <v>83</v>
      </c>
      <c r="M2" s="97" t="s">
        <v>84</v>
      </c>
      <c r="N2" s="97"/>
      <c r="O2" s="97"/>
      <c r="P2" s="97"/>
    </row>
    <row r="3">
      <c r="A3" s="92">
        <f t="shared" si="1"/>
        <v>3</v>
      </c>
      <c r="B3" s="92">
        <f t="shared" si="2"/>
        <v>1</v>
      </c>
      <c r="C3" s="93">
        <v>43102.0</v>
      </c>
      <c r="D3" s="94" t="s">
        <v>85</v>
      </c>
      <c r="E3" s="94" t="s">
        <v>30</v>
      </c>
      <c r="F3" s="94" t="s">
        <v>86</v>
      </c>
      <c r="G3" s="95">
        <v>900.0</v>
      </c>
      <c r="H3" s="96"/>
      <c r="I3" s="97" t="str">
        <f t="shared" si="3"/>
        <v>Бар</v>
      </c>
      <c r="J3" s="97" t="s">
        <v>87</v>
      </c>
      <c r="K3" s="97" t="s">
        <v>88</v>
      </c>
      <c r="L3" s="97" t="s">
        <v>89</v>
      </c>
      <c r="M3" s="97" t="s">
        <v>90</v>
      </c>
      <c r="N3" s="97"/>
      <c r="O3" s="97"/>
      <c r="P3" s="97"/>
    </row>
    <row r="4">
      <c r="A4" s="92">
        <f t="shared" si="1"/>
        <v>3</v>
      </c>
      <c r="B4" s="92">
        <f t="shared" si="2"/>
        <v>1</v>
      </c>
      <c r="C4" s="93">
        <v>43102.0</v>
      </c>
      <c r="D4" s="94" t="s">
        <v>91</v>
      </c>
      <c r="E4" s="94" t="s">
        <v>15</v>
      </c>
      <c r="F4" s="94" t="s">
        <v>92</v>
      </c>
      <c r="G4" s="95">
        <v>700.0</v>
      </c>
      <c r="H4" s="96"/>
      <c r="I4" s="97" t="str">
        <f t="shared" si="3"/>
        <v>Обед (работа)</v>
      </c>
      <c r="J4" s="97" t="s">
        <v>93</v>
      </c>
      <c r="K4" s="97" t="s">
        <v>94</v>
      </c>
      <c r="L4" s="97" t="s">
        <v>95</v>
      </c>
      <c r="M4" s="97" t="s">
        <v>92</v>
      </c>
      <c r="N4" s="97"/>
      <c r="O4" s="97"/>
      <c r="P4" s="97"/>
    </row>
    <row r="5">
      <c r="A5" s="92">
        <f t="shared" si="1"/>
        <v>3</v>
      </c>
      <c r="B5" s="92">
        <f t="shared" si="2"/>
        <v>1</v>
      </c>
      <c r="C5" s="93">
        <v>43102.0</v>
      </c>
      <c r="D5" s="94" t="s">
        <v>93</v>
      </c>
      <c r="E5" s="94" t="s">
        <v>15</v>
      </c>
      <c r="F5" s="94" t="s">
        <v>92</v>
      </c>
      <c r="G5" s="95">
        <v>350.0</v>
      </c>
      <c r="H5" s="98"/>
      <c r="I5" s="97" t="str">
        <f t="shared" si="3"/>
        <v>Обед (работа)</v>
      </c>
      <c r="J5" s="97" t="s">
        <v>93</v>
      </c>
      <c r="K5" s="97" t="s">
        <v>94</v>
      </c>
      <c r="L5" s="97" t="s">
        <v>95</v>
      </c>
      <c r="M5" s="97" t="s">
        <v>92</v>
      </c>
      <c r="N5" s="97"/>
      <c r="O5" s="97"/>
      <c r="P5" s="97"/>
    </row>
    <row r="6">
      <c r="A6" s="92">
        <f t="shared" si="1"/>
        <v>3</v>
      </c>
      <c r="B6" s="92">
        <f t="shared" si="2"/>
        <v>1</v>
      </c>
      <c r="C6" s="93">
        <v>43102.0</v>
      </c>
      <c r="D6" s="94" t="s">
        <v>90</v>
      </c>
      <c r="E6" s="94" t="s">
        <v>30</v>
      </c>
      <c r="F6" s="94" t="s">
        <v>90</v>
      </c>
      <c r="G6" s="95">
        <v>600.0</v>
      </c>
      <c r="H6" s="98"/>
      <c r="I6" s="97" t="str">
        <f t="shared" si="3"/>
        <v>Бар</v>
      </c>
      <c r="J6" s="97" t="s">
        <v>87</v>
      </c>
      <c r="K6" s="97" t="s">
        <v>88</v>
      </c>
      <c r="L6" s="97" t="s">
        <v>89</v>
      </c>
      <c r="M6" s="97" t="s">
        <v>90</v>
      </c>
      <c r="N6" s="97"/>
      <c r="O6" s="97"/>
      <c r="P6" s="97"/>
    </row>
    <row r="7">
      <c r="A7" s="92">
        <f t="shared" si="1"/>
        <v>3</v>
      </c>
      <c r="B7" s="92">
        <f t="shared" si="2"/>
        <v>1</v>
      </c>
      <c r="C7" s="93">
        <v>43102.0</v>
      </c>
      <c r="D7" s="94" t="s">
        <v>80</v>
      </c>
      <c r="E7" s="94" t="s">
        <v>24</v>
      </c>
      <c r="F7" s="94" t="s">
        <v>80</v>
      </c>
      <c r="G7" s="95">
        <v>250.0</v>
      </c>
      <c r="H7" s="98"/>
      <c r="I7" s="97" t="str">
        <f t="shared" si="3"/>
        <v>Такси</v>
      </c>
      <c r="J7" s="97" t="s">
        <v>81</v>
      </c>
      <c r="K7" s="97" t="s">
        <v>82</v>
      </c>
      <c r="L7" s="97" t="s">
        <v>83</v>
      </c>
      <c r="M7" s="97" t="s">
        <v>84</v>
      </c>
      <c r="N7" s="97"/>
      <c r="O7" s="97"/>
      <c r="P7" s="97"/>
    </row>
    <row r="8">
      <c r="A8" s="92">
        <f t="shared" si="1"/>
        <v>4</v>
      </c>
      <c r="B8" s="92">
        <f t="shared" si="2"/>
        <v>1</v>
      </c>
      <c r="C8" s="93">
        <v>43103.0</v>
      </c>
      <c r="D8" s="94" t="s">
        <v>80</v>
      </c>
      <c r="E8" s="94" t="s">
        <v>24</v>
      </c>
      <c r="F8" s="94" t="s">
        <v>80</v>
      </c>
      <c r="G8" s="95">
        <v>690.0</v>
      </c>
      <c r="H8" s="99"/>
      <c r="I8" s="97" t="str">
        <f t="shared" si="3"/>
        <v>Такси</v>
      </c>
      <c r="J8" s="97" t="s">
        <v>81</v>
      </c>
      <c r="K8" s="97" t="s">
        <v>82</v>
      </c>
      <c r="L8" s="97" t="s">
        <v>83</v>
      </c>
      <c r="M8" s="97" t="s">
        <v>84</v>
      </c>
      <c r="N8" s="97"/>
      <c r="O8" s="97"/>
      <c r="P8" s="97"/>
    </row>
    <row r="9">
      <c r="A9" s="92">
        <f t="shared" si="1"/>
        <v>4</v>
      </c>
      <c r="B9" s="92">
        <f t="shared" si="2"/>
        <v>1</v>
      </c>
      <c r="C9" s="93">
        <v>43103.0</v>
      </c>
      <c r="D9" s="94" t="s">
        <v>91</v>
      </c>
      <c r="E9" s="94" t="s">
        <v>15</v>
      </c>
      <c r="F9" s="94" t="s">
        <v>92</v>
      </c>
      <c r="G9" s="95">
        <v>700.0</v>
      </c>
      <c r="H9" s="99"/>
      <c r="I9" s="97" t="str">
        <f t="shared" si="3"/>
        <v>Обед (работа)</v>
      </c>
      <c r="J9" s="97" t="s">
        <v>93</v>
      </c>
      <c r="K9" s="97" t="s">
        <v>94</v>
      </c>
      <c r="L9" s="97" t="s">
        <v>95</v>
      </c>
      <c r="M9" s="97" t="s">
        <v>92</v>
      </c>
      <c r="N9" s="97"/>
      <c r="O9" s="97"/>
      <c r="P9" s="97"/>
    </row>
    <row r="10">
      <c r="A10" s="92">
        <f t="shared" si="1"/>
        <v>4</v>
      </c>
      <c r="B10" s="92">
        <f t="shared" si="2"/>
        <v>1</v>
      </c>
      <c r="C10" s="93">
        <v>43103.0</v>
      </c>
      <c r="D10" s="94" t="s">
        <v>96</v>
      </c>
      <c r="E10" s="94" t="s">
        <v>21</v>
      </c>
      <c r="F10" s="94" t="s">
        <v>97</v>
      </c>
      <c r="G10" s="95">
        <v>550.0</v>
      </c>
      <c r="H10" s="99"/>
      <c r="I10" s="97" t="str">
        <f t="shared" si="3"/>
        <v>Вино</v>
      </c>
      <c r="J10" s="97" t="s">
        <v>97</v>
      </c>
      <c r="K10" s="97" t="s">
        <v>98</v>
      </c>
      <c r="L10" s="97" t="s">
        <v>99</v>
      </c>
      <c r="M10" s="97" t="s">
        <v>100</v>
      </c>
      <c r="N10" s="97"/>
      <c r="O10" s="97"/>
      <c r="P10" s="97"/>
    </row>
    <row r="11">
      <c r="A11" s="92">
        <f t="shared" si="1"/>
        <v>5</v>
      </c>
      <c r="B11" s="92">
        <f t="shared" si="2"/>
        <v>1</v>
      </c>
      <c r="C11" s="93">
        <v>43104.0</v>
      </c>
      <c r="D11" s="94" t="s">
        <v>80</v>
      </c>
      <c r="E11" s="94" t="s">
        <v>24</v>
      </c>
      <c r="F11" s="94" t="s">
        <v>80</v>
      </c>
      <c r="G11" s="95">
        <v>500.0</v>
      </c>
      <c r="H11" s="99"/>
      <c r="I11" s="97" t="str">
        <f t="shared" si="3"/>
        <v>Такси</v>
      </c>
      <c r="J11" s="97" t="s">
        <v>81</v>
      </c>
      <c r="K11" s="97" t="s">
        <v>82</v>
      </c>
      <c r="L11" s="97" t="s">
        <v>83</v>
      </c>
      <c r="M11" s="97" t="s">
        <v>84</v>
      </c>
      <c r="N11" s="97"/>
      <c r="O11" s="97"/>
      <c r="P11" s="97"/>
    </row>
    <row r="12">
      <c r="A12" s="92">
        <f t="shared" si="1"/>
        <v>5</v>
      </c>
      <c r="B12" s="92">
        <f t="shared" si="2"/>
        <v>1</v>
      </c>
      <c r="C12" s="93">
        <v>43104.0</v>
      </c>
      <c r="D12" s="94" t="s">
        <v>101</v>
      </c>
      <c r="E12" s="94" t="s">
        <v>15</v>
      </c>
      <c r="F12" s="94" t="s">
        <v>94</v>
      </c>
      <c r="G12" s="95">
        <v>400.0</v>
      </c>
      <c r="H12" s="99"/>
      <c r="I12" s="97" t="str">
        <f t="shared" si="3"/>
        <v>Обед (работа)</v>
      </c>
      <c r="J12" s="97" t="s">
        <v>93</v>
      </c>
      <c r="K12" s="97" t="s">
        <v>94</v>
      </c>
      <c r="L12" s="97" t="s">
        <v>95</v>
      </c>
      <c r="M12" s="97" t="s">
        <v>92</v>
      </c>
      <c r="N12" s="97"/>
      <c r="O12" s="97"/>
      <c r="P12" s="97"/>
    </row>
    <row r="13">
      <c r="A13" s="92">
        <f t="shared" si="1"/>
        <v>6</v>
      </c>
      <c r="B13" s="92">
        <f t="shared" si="2"/>
        <v>1</v>
      </c>
      <c r="C13" s="93">
        <v>43105.0</v>
      </c>
      <c r="D13" s="94" t="s">
        <v>80</v>
      </c>
      <c r="E13" s="94" t="s">
        <v>24</v>
      </c>
      <c r="F13" s="94" t="s">
        <v>80</v>
      </c>
      <c r="G13" s="95">
        <v>200.0</v>
      </c>
      <c r="H13" s="99"/>
      <c r="I13" s="97" t="str">
        <f t="shared" si="3"/>
        <v>Такси</v>
      </c>
      <c r="J13" s="97" t="s">
        <v>81</v>
      </c>
      <c r="K13" s="97" t="s">
        <v>82</v>
      </c>
      <c r="L13" s="97" t="s">
        <v>83</v>
      </c>
      <c r="M13" s="97" t="s">
        <v>84</v>
      </c>
      <c r="N13" s="97"/>
      <c r="O13" s="97"/>
      <c r="P13" s="97"/>
    </row>
    <row r="14">
      <c r="A14" s="92">
        <f t="shared" si="1"/>
        <v>6</v>
      </c>
      <c r="B14" s="92">
        <f t="shared" si="2"/>
        <v>1</v>
      </c>
      <c r="C14" s="93">
        <v>43105.0</v>
      </c>
      <c r="D14" s="94" t="s">
        <v>102</v>
      </c>
      <c r="E14" s="94" t="s">
        <v>21</v>
      </c>
      <c r="F14" s="94" t="s">
        <v>102</v>
      </c>
      <c r="G14" s="95">
        <v>750.0</v>
      </c>
      <c r="H14" s="99"/>
      <c r="I14" s="97" t="str">
        <f t="shared" si="3"/>
        <v>Вино</v>
      </c>
      <c r="J14" s="97" t="s">
        <v>97</v>
      </c>
      <c r="K14" s="97" t="s">
        <v>98</v>
      </c>
      <c r="L14" s="97" t="s">
        <v>99</v>
      </c>
      <c r="M14" s="97" t="s">
        <v>100</v>
      </c>
      <c r="N14" s="97"/>
      <c r="O14" s="97"/>
      <c r="P14" s="97"/>
    </row>
    <row r="15">
      <c r="A15" s="92">
        <f t="shared" si="1"/>
        <v>6</v>
      </c>
      <c r="B15" s="92">
        <f t="shared" si="2"/>
        <v>1</v>
      </c>
      <c r="C15" s="93">
        <v>43105.0</v>
      </c>
      <c r="D15" s="94" t="s">
        <v>80</v>
      </c>
      <c r="E15" s="94" t="s">
        <v>24</v>
      </c>
      <c r="F15" s="94" t="s">
        <v>80</v>
      </c>
      <c r="G15" s="95">
        <v>200.0</v>
      </c>
      <c r="H15" s="99"/>
      <c r="I15" s="97" t="str">
        <f t="shared" si="3"/>
        <v>Такси</v>
      </c>
      <c r="J15" s="97" t="s">
        <v>81</v>
      </c>
      <c r="K15" s="97" t="s">
        <v>82</v>
      </c>
      <c r="L15" s="97" t="s">
        <v>83</v>
      </c>
      <c r="M15" s="97" t="s">
        <v>84</v>
      </c>
      <c r="N15" s="97"/>
      <c r="O15" s="97"/>
      <c r="P15" s="97"/>
    </row>
    <row r="16">
      <c r="A16" s="92">
        <f t="shared" si="1"/>
        <v>7</v>
      </c>
      <c r="B16" s="92">
        <f t="shared" si="2"/>
        <v>1</v>
      </c>
      <c r="C16" s="93">
        <v>43106.0</v>
      </c>
      <c r="D16" s="94" t="s">
        <v>103</v>
      </c>
      <c r="E16" s="94" t="s">
        <v>21</v>
      </c>
      <c r="F16" s="94" t="s">
        <v>97</v>
      </c>
      <c r="G16" s="95">
        <v>800.0</v>
      </c>
      <c r="H16" s="99"/>
      <c r="I16" s="97" t="str">
        <f t="shared" si="3"/>
        <v>Вино</v>
      </c>
      <c r="J16" s="97" t="s">
        <v>97</v>
      </c>
      <c r="K16" s="97" t="s">
        <v>98</v>
      </c>
      <c r="L16" s="97" t="s">
        <v>99</v>
      </c>
      <c r="M16" s="97" t="s">
        <v>100</v>
      </c>
      <c r="N16" s="97"/>
      <c r="O16" s="97"/>
      <c r="P16" s="97"/>
    </row>
    <row r="17">
      <c r="A17" s="92">
        <f t="shared" si="1"/>
        <v>7</v>
      </c>
      <c r="B17" s="92">
        <f t="shared" si="2"/>
        <v>1</v>
      </c>
      <c r="C17" s="93">
        <v>43106.0</v>
      </c>
      <c r="D17" s="94" t="s">
        <v>26</v>
      </c>
      <c r="E17" s="94" t="s">
        <v>26</v>
      </c>
      <c r="F17" s="100"/>
      <c r="G17" s="95">
        <v>300.0</v>
      </c>
      <c r="H17" s="99"/>
      <c r="I17" s="97" t="str">
        <f t="shared" si="3"/>
        <v/>
      </c>
      <c r="J17" s="97"/>
      <c r="K17" s="97"/>
      <c r="L17" s="97"/>
      <c r="M17" s="97"/>
      <c r="N17" s="97"/>
      <c r="O17" s="97"/>
      <c r="P17" s="97"/>
    </row>
    <row r="18">
      <c r="A18" s="92">
        <f t="shared" si="1"/>
        <v>7</v>
      </c>
      <c r="B18" s="92">
        <f t="shared" si="2"/>
        <v>1</v>
      </c>
      <c r="C18" s="93">
        <v>43106.0</v>
      </c>
      <c r="D18" s="94" t="s">
        <v>104</v>
      </c>
      <c r="E18" s="94" t="s">
        <v>37</v>
      </c>
      <c r="F18" s="100"/>
      <c r="G18" s="95">
        <v>500.0</v>
      </c>
      <c r="H18" s="99"/>
      <c r="I18" s="97" t="str">
        <f t="shared" si="3"/>
        <v/>
      </c>
      <c r="J18" s="97"/>
      <c r="K18" s="97"/>
      <c r="L18" s="97"/>
      <c r="M18" s="97"/>
      <c r="N18" s="97"/>
      <c r="O18" s="97"/>
      <c r="P18" s="97"/>
    </row>
    <row r="19">
      <c r="A19" s="92">
        <f t="shared" si="1"/>
        <v>7</v>
      </c>
      <c r="B19" s="92">
        <f t="shared" si="2"/>
        <v>1</v>
      </c>
      <c r="C19" s="93">
        <v>43106.0</v>
      </c>
      <c r="D19" s="94" t="s">
        <v>80</v>
      </c>
      <c r="E19" s="94" t="s">
        <v>24</v>
      </c>
      <c r="F19" s="94" t="s">
        <v>80</v>
      </c>
      <c r="G19" s="95">
        <v>136.0</v>
      </c>
      <c r="H19" s="99"/>
      <c r="I19" s="97" t="str">
        <f t="shared" si="3"/>
        <v>Такси</v>
      </c>
      <c r="J19" s="97" t="s">
        <v>81</v>
      </c>
      <c r="K19" s="97" t="s">
        <v>82</v>
      </c>
      <c r="L19" s="97" t="s">
        <v>83</v>
      </c>
      <c r="M19" s="97" t="s">
        <v>84</v>
      </c>
      <c r="N19" s="97"/>
      <c r="O19" s="97"/>
      <c r="P19" s="97"/>
    </row>
    <row r="20">
      <c r="A20" s="92">
        <f t="shared" si="1"/>
        <v>1</v>
      </c>
      <c r="B20" s="92">
        <f t="shared" si="2"/>
        <v>1</v>
      </c>
      <c r="C20" s="93">
        <v>43107.0</v>
      </c>
      <c r="D20" s="94" t="s">
        <v>80</v>
      </c>
      <c r="E20" s="94" t="s">
        <v>24</v>
      </c>
      <c r="F20" s="94" t="s">
        <v>80</v>
      </c>
      <c r="G20" s="95">
        <v>146.0</v>
      </c>
      <c r="H20" s="99"/>
      <c r="I20" s="97" t="str">
        <f t="shared" si="3"/>
        <v>Такси</v>
      </c>
      <c r="J20" s="97" t="s">
        <v>81</v>
      </c>
      <c r="K20" s="97" t="s">
        <v>82</v>
      </c>
      <c r="L20" s="97" t="s">
        <v>83</v>
      </c>
      <c r="M20" s="97" t="s">
        <v>84</v>
      </c>
      <c r="N20" s="97"/>
      <c r="O20" s="97"/>
      <c r="P20" s="97"/>
    </row>
    <row r="21">
      <c r="A21" s="92">
        <f t="shared" si="1"/>
        <v>1</v>
      </c>
      <c r="B21" s="92">
        <f t="shared" si="2"/>
        <v>1</v>
      </c>
      <c r="C21" s="93">
        <v>43107.0</v>
      </c>
      <c r="D21" s="94" t="s">
        <v>105</v>
      </c>
      <c r="E21" s="94" t="s">
        <v>15</v>
      </c>
      <c r="F21" s="94" t="s">
        <v>93</v>
      </c>
      <c r="G21" s="95">
        <v>50.0</v>
      </c>
      <c r="H21" s="99"/>
      <c r="I21" s="97" t="str">
        <f t="shared" si="3"/>
        <v>Обед (работа)</v>
      </c>
      <c r="J21" s="97" t="s">
        <v>93</v>
      </c>
      <c r="K21" s="97" t="s">
        <v>94</v>
      </c>
      <c r="L21" s="97" t="s">
        <v>95</v>
      </c>
      <c r="M21" s="97" t="s">
        <v>92</v>
      </c>
      <c r="N21" s="97"/>
      <c r="O21" s="97"/>
      <c r="P21" s="97"/>
    </row>
    <row r="22">
      <c r="A22" s="92">
        <f t="shared" si="1"/>
        <v>1</v>
      </c>
      <c r="B22" s="92">
        <f t="shared" si="2"/>
        <v>1</v>
      </c>
      <c r="C22" s="93">
        <v>43107.0</v>
      </c>
      <c r="D22" s="94" t="s">
        <v>106</v>
      </c>
      <c r="E22" s="94" t="s">
        <v>30</v>
      </c>
      <c r="F22" s="94" t="s">
        <v>87</v>
      </c>
      <c r="G22" s="95">
        <v>1200.0</v>
      </c>
      <c r="H22" s="99"/>
      <c r="I22" s="97" t="str">
        <f t="shared" si="3"/>
        <v>Бар</v>
      </c>
      <c r="J22" s="97" t="s">
        <v>87</v>
      </c>
      <c r="K22" s="97" t="s">
        <v>88</v>
      </c>
      <c r="L22" s="97" t="s">
        <v>89</v>
      </c>
      <c r="M22" s="97" t="s">
        <v>90</v>
      </c>
      <c r="N22" s="97"/>
      <c r="O22" s="97"/>
      <c r="P22" s="97"/>
    </row>
    <row r="23">
      <c r="A23" s="92">
        <f t="shared" si="1"/>
        <v>1</v>
      </c>
      <c r="B23" s="92">
        <f t="shared" si="2"/>
        <v>1</v>
      </c>
      <c r="C23" s="93">
        <v>43107.0</v>
      </c>
      <c r="D23" s="94" t="s">
        <v>107</v>
      </c>
      <c r="E23" s="94" t="s">
        <v>40</v>
      </c>
      <c r="F23" s="100"/>
      <c r="G23" s="95">
        <v>300.0</v>
      </c>
      <c r="H23" s="99"/>
      <c r="I23" s="97" t="str">
        <f t="shared" si="3"/>
        <v/>
      </c>
      <c r="J23" s="97"/>
      <c r="K23" s="97"/>
      <c r="L23" s="97"/>
      <c r="M23" s="97"/>
      <c r="N23" s="97"/>
      <c r="O23" s="97"/>
      <c r="P23" s="97"/>
    </row>
    <row r="24">
      <c r="A24" s="92">
        <f t="shared" si="1"/>
        <v>1</v>
      </c>
      <c r="B24" s="92">
        <f t="shared" si="2"/>
        <v>1</v>
      </c>
      <c r="C24" s="93">
        <v>43107.0</v>
      </c>
      <c r="D24" s="94" t="s">
        <v>108</v>
      </c>
      <c r="E24" s="94" t="s">
        <v>40</v>
      </c>
      <c r="F24" s="100"/>
      <c r="G24" s="95">
        <v>800.0</v>
      </c>
      <c r="H24" s="99"/>
      <c r="I24" s="97" t="str">
        <f t="shared" si="3"/>
        <v/>
      </c>
      <c r="J24" s="97"/>
      <c r="K24" s="97"/>
      <c r="L24" s="97"/>
      <c r="M24" s="97"/>
      <c r="N24" s="97"/>
      <c r="O24" s="97"/>
      <c r="P24" s="97"/>
    </row>
    <row r="25">
      <c r="A25" s="92">
        <f t="shared" si="1"/>
        <v>1</v>
      </c>
      <c r="B25" s="92">
        <f t="shared" si="2"/>
        <v>1</v>
      </c>
      <c r="C25" s="93">
        <v>43107.0</v>
      </c>
      <c r="D25" s="94" t="s">
        <v>109</v>
      </c>
      <c r="E25" s="94" t="s">
        <v>15</v>
      </c>
      <c r="F25" s="94" t="s">
        <v>110</v>
      </c>
      <c r="G25" s="95">
        <v>490.0</v>
      </c>
      <c r="H25" s="99"/>
      <c r="I25" s="97" t="str">
        <f t="shared" si="3"/>
        <v>Обед (работа)</v>
      </c>
      <c r="J25" s="97" t="s">
        <v>93</v>
      </c>
      <c r="K25" s="97" t="s">
        <v>94</v>
      </c>
      <c r="L25" s="97" t="s">
        <v>95</v>
      </c>
      <c r="M25" s="97" t="s">
        <v>92</v>
      </c>
      <c r="N25" s="97"/>
      <c r="O25" s="97"/>
      <c r="P25" s="97"/>
    </row>
    <row r="26">
      <c r="A26" s="92">
        <f t="shared" si="1"/>
        <v>1</v>
      </c>
      <c r="B26" s="92">
        <f t="shared" si="2"/>
        <v>1</v>
      </c>
      <c r="C26" s="93">
        <v>43107.0</v>
      </c>
      <c r="D26" s="94" t="s">
        <v>102</v>
      </c>
      <c r="E26" s="94" t="s">
        <v>21</v>
      </c>
      <c r="F26" s="94" t="s">
        <v>102</v>
      </c>
      <c r="G26" s="95">
        <v>500.0</v>
      </c>
      <c r="H26" s="99"/>
      <c r="I26" s="97" t="str">
        <f t="shared" si="3"/>
        <v>Вино</v>
      </c>
      <c r="J26" s="97" t="s">
        <v>97</v>
      </c>
      <c r="K26" s="97" t="s">
        <v>98</v>
      </c>
      <c r="L26" s="97" t="s">
        <v>99</v>
      </c>
      <c r="M26" s="97" t="s">
        <v>100</v>
      </c>
      <c r="N26" s="97"/>
      <c r="O26" s="97"/>
      <c r="P26" s="97"/>
    </row>
    <row r="27">
      <c r="A27" s="92">
        <f t="shared" si="1"/>
        <v>1</v>
      </c>
      <c r="B27" s="92">
        <f t="shared" si="2"/>
        <v>1</v>
      </c>
      <c r="C27" s="93">
        <v>43107.0</v>
      </c>
      <c r="D27" s="94" t="s">
        <v>111</v>
      </c>
      <c r="E27" s="94" t="s">
        <v>40</v>
      </c>
      <c r="F27" s="100"/>
      <c r="G27" s="95">
        <v>650.0</v>
      </c>
      <c r="H27" s="99"/>
      <c r="I27" s="97" t="str">
        <f t="shared" si="3"/>
        <v/>
      </c>
      <c r="J27" s="97"/>
      <c r="K27" s="97"/>
      <c r="L27" s="97"/>
      <c r="M27" s="97"/>
      <c r="N27" s="97"/>
      <c r="O27" s="97"/>
      <c r="P27" s="97"/>
    </row>
    <row r="28">
      <c r="A28" s="92">
        <f t="shared" si="1"/>
        <v>1</v>
      </c>
      <c r="B28" s="92">
        <f t="shared" si="2"/>
        <v>1</v>
      </c>
      <c r="C28" s="93">
        <v>43107.0</v>
      </c>
      <c r="D28" s="94" t="s">
        <v>112</v>
      </c>
      <c r="E28" s="94" t="s">
        <v>15</v>
      </c>
      <c r="F28" s="94" t="s">
        <v>95</v>
      </c>
      <c r="G28" s="95">
        <v>166.0</v>
      </c>
      <c r="H28" s="99"/>
      <c r="I28" s="97" t="str">
        <f t="shared" si="3"/>
        <v>Обед (работа)</v>
      </c>
      <c r="J28" s="97" t="s">
        <v>93</v>
      </c>
      <c r="K28" s="97" t="s">
        <v>94</v>
      </c>
      <c r="L28" s="97" t="s">
        <v>95</v>
      </c>
      <c r="M28" s="97" t="s">
        <v>92</v>
      </c>
      <c r="N28" s="97"/>
      <c r="O28" s="97"/>
      <c r="P28" s="97"/>
    </row>
    <row r="29">
      <c r="A29" s="92">
        <f t="shared" si="1"/>
        <v>2</v>
      </c>
      <c r="B29" s="92">
        <f t="shared" si="2"/>
        <v>1</v>
      </c>
      <c r="C29" s="93">
        <v>43108.0</v>
      </c>
      <c r="D29" s="94" t="s">
        <v>98</v>
      </c>
      <c r="E29" s="94" t="s">
        <v>21</v>
      </c>
      <c r="F29" s="94" t="s">
        <v>98</v>
      </c>
      <c r="G29" s="95">
        <v>170.0</v>
      </c>
      <c r="H29" s="99"/>
      <c r="I29" s="97" t="str">
        <f t="shared" si="3"/>
        <v>Вино</v>
      </c>
      <c r="J29" s="97" t="s">
        <v>97</v>
      </c>
      <c r="K29" s="97" t="s">
        <v>98</v>
      </c>
      <c r="L29" s="97" t="s">
        <v>99</v>
      </c>
      <c r="M29" s="97" t="s">
        <v>100</v>
      </c>
      <c r="N29" s="97"/>
      <c r="O29" s="97"/>
      <c r="P29" s="97"/>
    </row>
    <row r="30">
      <c r="A30" s="92">
        <f t="shared" si="1"/>
        <v>2</v>
      </c>
      <c r="B30" s="92">
        <f t="shared" si="2"/>
        <v>1</v>
      </c>
      <c r="C30" s="93">
        <v>43108.0</v>
      </c>
      <c r="D30" s="94" t="s">
        <v>113</v>
      </c>
      <c r="E30" s="94" t="s">
        <v>37</v>
      </c>
      <c r="F30" s="100"/>
      <c r="G30" s="95">
        <v>1200.0</v>
      </c>
      <c r="H30" s="99"/>
      <c r="I30" s="97" t="str">
        <f t="shared" si="3"/>
        <v/>
      </c>
      <c r="J30" s="97"/>
      <c r="K30" s="97"/>
      <c r="L30" s="97"/>
      <c r="M30" s="97"/>
      <c r="N30" s="97"/>
      <c r="O30" s="97"/>
      <c r="P30" s="97"/>
    </row>
    <row r="31">
      <c r="A31" s="92">
        <f t="shared" si="1"/>
        <v>2</v>
      </c>
      <c r="B31" s="92">
        <f t="shared" si="2"/>
        <v>1</v>
      </c>
      <c r="C31" s="93">
        <v>43108.0</v>
      </c>
      <c r="D31" s="94" t="s">
        <v>114</v>
      </c>
      <c r="E31" s="94" t="s">
        <v>18</v>
      </c>
      <c r="F31" s="94" t="s">
        <v>115</v>
      </c>
      <c r="G31" s="95">
        <v>300.0</v>
      </c>
      <c r="H31" s="99"/>
      <c r="I31" s="97" t="str">
        <f t="shared" si="3"/>
        <v>Родственники</v>
      </c>
      <c r="J31" s="97" t="s">
        <v>116</v>
      </c>
      <c r="K31" s="97" t="s">
        <v>115</v>
      </c>
      <c r="L31" s="97"/>
      <c r="M31" s="97"/>
      <c r="N31" s="97"/>
      <c r="O31" s="97"/>
      <c r="P31" s="97"/>
    </row>
    <row r="32">
      <c r="A32" s="92">
        <f t="shared" si="1"/>
        <v>3</v>
      </c>
      <c r="B32" s="92">
        <f t="shared" si="2"/>
        <v>1</v>
      </c>
      <c r="C32" s="93">
        <v>43109.0</v>
      </c>
      <c r="D32" s="94" t="s">
        <v>91</v>
      </c>
      <c r="E32" s="94" t="s">
        <v>15</v>
      </c>
      <c r="F32" s="94" t="s">
        <v>117</v>
      </c>
      <c r="G32" s="95">
        <v>393.0</v>
      </c>
      <c r="H32" s="99"/>
      <c r="I32" s="97" t="str">
        <f t="shared" si="3"/>
        <v>Обед (работа)</v>
      </c>
      <c r="J32" s="97" t="s">
        <v>93</v>
      </c>
      <c r="K32" s="97" t="s">
        <v>94</v>
      </c>
      <c r="L32" s="97" t="s">
        <v>95</v>
      </c>
      <c r="M32" s="97" t="s">
        <v>92</v>
      </c>
      <c r="N32" s="97"/>
      <c r="O32" s="97"/>
      <c r="P32" s="97"/>
    </row>
    <row r="33">
      <c r="A33" s="92">
        <f t="shared" si="1"/>
        <v>3</v>
      </c>
      <c r="B33" s="92">
        <f t="shared" si="2"/>
        <v>1</v>
      </c>
      <c r="C33" s="93">
        <v>43109.0</v>
      </c>
      <c r="D33" s="94" t="s">
        <v>118</v>
      </c>
      <c r="E33" s="94" t="s">
        <v>48</v>
      </c>
      <c r="F33" s="100"/>
      <c r="G33" s="95">
        <v>169.0</v>
      </c>
      <c r="H33" s="99"/>
      <c r="I33" s="97" t="str">
        <f t="shared" si="3"/>
        <v/>
      </c>
      <c r="J33" s="97"/>
      <c r="K33" s="97"/>
      <c r="L33" s="97"/>
      <c r="M33" s="97"/>
      <c r="N33" s="97"/>
      <c r="O33" s="97"/>
      <c r="P33" s="97"/>
    </row>
    <row r="34">
      <c r="A34" s="92">
        <f t="shared" si="1"/>
        <v>5</v>
      </c>
      <c r="B34" s="92">
        <f t="shared" si="2"/>
        <v>1</v>
      </c>
      <c r="C34" s="93">
        <v>43111.0</v>
      </c>
      <c r="D34" s="94" t="s">
        <v>91</v>
      </c>
      <c r="E34" s="94" t="s">
        <v>15</v>
      </c>
      <c r="F34" s="94" t="s">
        <v>117</v>
      </c>
      <c r="G34" s="95">
        <v>296.0</v>
      </c>
      <c r="H34" s="99"/>
      <c r="I34" s="97" t="str">
        <f t="shared" si="3"/>
        <v>Обед (работа)</v>
      </c>
      <c r="J34" s="97" t="s">
        <v>93</v>
      </c>
      <c r="K34" s="97" t="s">
        <v>94</v>
      </c>
      <c r="L34" s="97" t="s">
        <v>95</v>
      </c>
      <c r="M34" s="97" t="s">
        <v>92</v>
      </c>
      <c r="N34" s="97"/>
      <c r="O34" s="97"/>
      <c r="P34" s="97"/>
    </row>
    <row r="35">
      <c r="A35" s="92">
        <f t="shared" si="1"/>
        <v>5</v>
      </c>
      <c r="B35" s="92">
        <f t="shared" si="2"/>
        <v>1</v>
      </c>
      <c r="C35" s="93">
        <v>43111.0</v>
      </c>
      <c r="D35" s="94" t="s">
        <v>119</v>
      </c>
      <c r="E35" s="94" t="s">
        <v>18</v>
      </c>
      <c r="F35" s="94" t="s">
        <v>120</v>
      </c>
      <c r="G35" s="95">
        <v>3000.0</v>
      </c>
      <c r="H35" s="99"/>
      <c r="I35" s="97" t="str">
        <f t="shared" si="3"/>
        <v>Родственники</v>
      </c>
      <c r="J35" s="97" t="s">
        <v>116</v>
      </c>
      <c r="K35" s="97" t="s">
        <v>115</v>
      </c>
      <c r="L35" s="97"/>
      <c r="M35" s="97"/>
      <c r="N35" s="97"/>
      <c r="O35" s="97"/>
      <c r="P35" s="97"/>
    </row>
    <row r="36">
      <c r="A36" s="92">
        <f t="shared" si="1"/>
        <v>6</v>
      </c>
      <c r="B36" s="92">
        <f t="shared" si="2"/>
        <v>1</v>
      </c>
      <c r="C36" s="93">
        <v>43112.0</v>
      </c>
      <c r="D36" s="94" t="s">
        <v>83</v>
      </c>
      <c r="E36" s="94" t="s">
        <v>24</v>
      </c>
      <c r="F36" s="94" t="s">
        <v>83</v>
      </c>
      <c r="G36" s="95">
        <v>88.0</v>
      </c>
      <c r="H36" s="99"/>
      <c r="I36" s="97" t="str">
        <f t="shared" si="3"/>
        <v>Такси</v>
      </c>
      <c r="J36" s="97" t="s">
        <v>81</v>
      </c>
      <c r="K36" s="97" t="s">
        <v>82</v>
      </c>
      <c r="L36" s="97" t="s">
        <v>83</v>
      </c>
      <c r="M36" s="97" t="s">
        <v>84</v>
      </c>
      <c r="N36" s="97"/>
      <c r="O36" s="97"/>
      <c r="P36" s="97"/>
    </row>
    <row r="37">
      <c r="A37" s="92">
        <f t="shared" si="1"/>
        <v>6</v>
      </c>
      <c r="B37" s="92">
        <f t="shared" si="2"/>
        <v>1</v>
      </c>
      <c r="C37" s="93">
        <v>43112.0</v>
      </c>
      <c r="D37" s="94" t="s">
        <v>121</v>
      </c>
      <c r="E37" s="94" t="s">
        <v>18</v>
      </c>
      <c r="F37" s="94" t="s">
        <v>115</v>
      </c>
      <c r="G37" s="95">
        <v>300.0</v>
      </c>
      <c r="H37" s="99"/>
      <c r="I37" s="97" t="str">
        <f t="shared" si="3"/>
        <v>Родственники</v>
      </c>
      <c r="J37" s="97" t="s">
        <v>116</v>
      </c>
      <c r="K37" s="97" t="s">
        <v>115</v>
      </c>
      <c r="L37" s="97"/>
      <c r="M37" s="97"/>
      <c r="N37" s="97"/>
      <c r="O37" s="97"/>
      <c r="P37" s="97"/>
    </row>
    <row r="38">
      <c r="A38" s="92">
        <f t="shared" si="1"/>
        <v>6</v>
      </c>
      <c r="B38" s="92">
        <f t="shared" si="2"/>
        <v>1</v>
      </c>
      <c r="C38" s="93">
        <v>43112.0</v>
      </c>
      <c r="D38" s="94" t="s">
        <v>122</v>
      </c>
      <c r="E38" s="94" t="s">
        <v>15</v>
      </c>
      <c r="F38" s="94" t="s">
        <v>95</v>
      </c>
      <c r="G38" s="95">
        <v>50.0</v>
      </c>
      <c r="H38" s="99"/>
      <c r="I38" s="97" t="str">
        <f t="shared" si="3"/>
        <v>Обед (работа)</v>
      </c>
      <c r="J38" s="97" t="s">
        <v>93</v>
      </c>
      <c r="K38" s="97" t="s">
        <v>94</v>
      </c>
      <c r="L38" s="97" t="s">
        <v>95</v>
      </c>
      <c r="M38" s="97" t="s">
        <v>92</v>
      </c>
      <c r="N38" s="97"/>
      <c r="O38" s="97"/>
      <c r="P38" s="97"/>
    </row>
    <row r="39">
      <c r="A39" s="92">
        <f t="shared" si="1"/>
        <v>6</v>
      </c>
      <c r="B39" s="92">
        <f t="shared" si="2"/>
        <v>1</v>
      </c>
      <c r="C39" s="93">
        <v>43112.0</v>
      </c>
      <c r="D39" s="94" t="s">
        <v>102</v>
      </c>
      <c r="E39" s="94" t="s">
        <v>21</v>
      </c>
      <c r="F39" s="94" t="s">
        <v>102</v>
      </c>
      <c r="G39" s="95">
        <v>1000.0</v>
      </c>
      <c r="H39" s="99"/>
      <c r="I39" s="97" t="str">
        <f t="shared" si="3"/>
        <v>Вино</v>
      </c>
      <c r="J39" s="97" t="s">
        <v>97</v>
      </c>
      <c r="K39" s="97" t="s">
        <v>98</v>
      </c>
      <c r="L39" s="97" t="s">
        <v>99</v>
      </c>
      <c r="M39" s="97" t="s">
        <v>100</v>
      </c>
      <c r="N39" s="97"/>
      <c r="O39" s="97"/>
      <c r="P39" s="97"/>
    </row>
    <row r="40">
      <c r="A40" s="92">
        <f t="shared" si="1"/>
        <v>6</v>
      </c>
      <c r="B40" s="92">
        <f t="shared" si="2"/>
        <v>1</v>
      </c>
      <c r="C40" s="93">
        <v>43112.0</v>
      </c>
      <c r="D40" s="94" t="s">
        <v>80</v>
      </c>
      <c r="E40" s="94" t="s">
        <v>24</v>
      </c>
      <c r="F40" s="94" t="s">
        <v>80</v>
      </c>
      <c r="G40" s="95">
        <v>134.0</v>
      </c>
      <c r="H40" s="99"/>
      <c r="I40" s="97" t="str">
        <f t="shared" si="3"/>
        <v>Такси</v>
      </c>
      <c r="J40" s="97" t="s">
        <v>81</v>
      </c>
      <c r="K40" s="97" t="s">
        <v>82</v>
      </c>
      <c r="L40" s="97" t="s">
        <v>83</v>
      </c>
      <c r="M40" s="97" t="s">
        <v>84</v>
      </c>
      <c r="N40" s="97"/>
      <c r="O40" s="97"/>
      <c r="P40" s="97"/>
    </row>
    <row r="41">
      <c r="A41" s="92">
        <f t="shared" si="1"/>
        <v>6</v>
      </c>
      <c r="B41" s="92">
        <f t="shared" si="2"/>
        <v>1</v>
      </c>
      <c r="C41" s="93">
        <v>43112.0</v>
      </c>
      <c r="D41" s="94" t="s">
        <v>123</v>
      </c>
      <c r="E41" s="94" t="s">
        <v>15</v>
      </c>
      <c r="F41" s="94" t="s">
        <v>95</v>
      </c>
      <c r="G41" s="95">
        <v>421.0</v>
      </c>
      <c r="H41" s="99"/>
      <c r="I41" s="97" t="str">
        <f t="shared" si="3"/>
        <v>Обед (работа)</v>
      </c>
      <c r="J41" s="97" t="s">
        <v>93</v>
      </c>
      <c r="K41" s="97" t="s">
        <v>94</v>
      </c>
      <c r="L41" s="97" t="s">
        <v>95</v>
      </c>
      <c r="M41" s="97" t="s">
        <v>92</v>
      </c>
      <c r="N41" s="97"/>
      <c r="O41" s="97"/>
      <c r="P41" s="97"/>
    </row>
    <row r="42">
      <c r="A42" s="92">
        <f t="shared" si="1"/>
        <v>7</v>
      </c>
      <c r="B42" s="92">
        <f t="shared" si="2"/>
        <v>1</v>
      </c>
      <c r="C42" s="93">
        <v>43113.0</v>
      </c>
      <c r="D42" s="101" t="s">
        <v>124</v>
      </c>
      <c r="E42" s="100"/>
      <c r="F42" s="100"/>
      <c r="G42" s="95">
        <v>0.0</v>
      </c>
      <c r="H42" s="99"/>
      <c r="I42" s="97" t="str">
        <f t="shared" si="3"/>
        <v/>
      </c>
      <c r="J42" s="97"/>
      <c r="K42" s="97"/>
      <c r="L42" s="97"/>
      <c r="M42" s="97"/>
      <c r="N42" s="97"/>
      <c r="O42" s="97"/>
      <c r="P42" s="97"/>
    </row>
    <row r="43">
      <c r="A43" s="92">
        <f t="shared" si="1"/>
        <v>1</v>
      </c>
      <c r="B43" s="92">
        <f t="shared" si="2"/>
        <v>1</v>
      </c>
      <c r="C43" s="93">
        <v>43114.0</v>
      </c>
      <c r="D43" s="94" t="s">
        <v>80</v>
      </c>
      <c r="E43" s="94" t="s">
        <v>24</v>
      </c>
      <c r="F43" s="94" t="s">
        <v>80</v>
      </c>
      <c r="G43" s="95">
        <v>153.0</v>
      </c>
      <c r="H43" s="99"/>
      <c r="I43" s="97" t="str">
        <f t="shared" si="3"/>
        <v>Такси</v>
      </c>
      <c r="J43" s="97" t="s">
        <v>81</v>
      </c>
      <c r="K43" s="97" t="s">
        <v>82</v>
      </c>
      <c r="L43" s="97" t="s">
        <v>83</v>
      </c>
      <c r="M43" s="97" t="s">
        <v>84</v>
      </c>
      <c r="N43" s="97"/>
      <c r="O43" s="97"/>
      <c r="P43" s="97"/>
    </row>
    <row r="44">
      <c r="A44" s="92">
        <f t="shared" si="1"/>
        <v>2</v>
      </c>
      <c r="B44" s="92">
        <f t="shared" si="2"/>
        <v>1</v>
      </c>
      <c r="C44" s="93">
        <v>43115.0</v>
      </c>
      <c r="D44" s="94" t="s">
        <v>83</v>
      </c>
      <c r="E44" s="94" t="s">
        <v>24</v>
      </c>
      <c r="F44" s="94" t="s">
        <v>83</v>
      </c>
      <c r="G44" s="95" t="s">
        <v>125</v>
      </c>
      <c r="H44" s="99"/>
      <c r="I44" s="97" t="str">
        <f t="shared" si="3"/>
        <v>Такси</v>
      </c>
      <c r="J44" s="97" t="s">
        <v>81</v>
      </c>
      <c r="K44" s="97" t="s">
        <v>82</v>
      </c>
      <c r="L44" s="97" t="s">
        <v>83</v>
      </c>
      <c r="M44" s="97" t="s">
        <v>84</v>
      </c>
      <c r="N44" s="97"/>
      <c r="O44" s="97"/>
      <c r="P44" s="97"/>
    </row>
    <row r="45">
      <c r="A45" s="92">
        <f t="shared" si="1"/>
        <v>2</v>
      </c>
      <c r="B45" s="92">
        <f t="shared" si="2"/>
        <v>1</v>
      </c>
      <c r="C45" s="93">
        <v>43115.0</v>
      </c>
      <c r="D45" s="94" t="s">
        <v>91</v>
      </c>
      <c r="E45" s="94" t="s">
        <v>15</v>
      </c>
      <c r="F45" s="94" t="s">
        <v>117</v>
      </c>
      <c r="G45" s="95">
        <v>591.0</v>
      </c>
      <c r="H45" s="99"/>
      <c r="I45" s="97" t="str">
        <f t="shared" si="3"/>
        <v>Обед (работа)</v>
      </c>
      <c r="J45" s="97" t="s">
        <v>93</v>
      </c>
      <c r="K45" s="97" t="s">
        <v>94</v>
      </c>
      <c r="L45" s="97" t="s">
        <v>95</v>
      </c>
      <c r="M45" s="97" t="s">
        <v>92</v>
      </c>
      <c r="N45" s="97"/>
      <c r="O45" s="97"/>
      <c r="P45" s="97"/>
    </row>
    <row r="46">
      <c r="A46" s="92">
        <f t="shared" si="1"/>
        <v>2</v>
      </c>
      <c r="B46" s="92">
        <f t="shared" si="2"/>
        <v>1</v>
      </c>
      <c r="C46" s="93">
        <v>43115.0</v>
      </c>
      <c r="D46" s="94" t="s">
        <v>114</v>
      </c>
      <c r="E46" s="94" t="s">
        <v>18</v>
      </c>
      <c r="F46" s="94" t="s">
        <v>115</v>
      </c>
      <c r="G46" s="95">
        <v>200.0</v>
      </c>
      <c r="H46" s="99"/>
      <c r="I46" s="97" t="str">
        <f t="shared" si="3"/>
        <v>Родственники</v>
      </c>
      <c r="J46" s="97" t="s">
        <v>116</v>
      </c>
      <c r="K46" s="97" t="s">
        <v>115</v>
      </c>
      <c r="L46" s="97"/>
      <c r="M46" s="97"/>
      <c r="N46" s="97"/>
      <c r="O46" s="97"/>
      <c r="P46" s="97"/>
    </row>
    <row r="47">
      <c r="A47" s="92">
        <f t="shared" si="1"/>
        <v>3</v>
      </c>
      <c r="B47" s="92">
        <f t="shared" si="2"/>
        <v>1</v>
      </c>
      <c r="C47" s="93">
        <v>43116.0</v>
      </c>
      <c r="D47" s="94" t="s">
        <v>83</v>
      </c>
      <c r="E47" s="94" t="s">
        <v>24</v>
      </c>
      <c r="F47" s="94" t="s">
        <v>83</v>
      </c>
      <c r="G47" s="95">
        <v>88.0</v>
      </c>
      <c r="H47" s="99"/>
      <c r="I47" s="97" t="str">
        <f t="shared" si="3"/>
        <v>Такси</v>
      </c>
      <c r="J47" s="97" t="s">
        <v>81</v>
      </c>
      <c r="K47" s="97" t="s">
        <v>82</v>
      </c>
      <c r="L47" s="97" t="s">
        <v>83</v>
      </c>
      <c r="M47" s="97" t="s">
        <v>84</v>
      </c>
      <c r="N47" s="97"/>
      <c r="O47" s="97"/>
      <c r="P47" s="97"/>
    </row>
    <row r="48">
      <c r="A48" s="92">
        <f t="shared" si="1"/>
        <v>3</v>
      </c>
      <c r="B48" s="92">
        <f t="shared" si="2"/>
        <v>1</v>
      </c>
      <c r="C48" s="93">
        <v>43116.0</v>
      </c>
      <c r="D48" s="94" t="s">
        <v>91</v>
      </c>
      <c r="E48" s="94" t="s">
        <v>15</v>
      </c>
      <c r="F48" s="94" t="s">
        <v>117</v>
      </c>
      <c r="G48" s="95">
        <v>408.0</v>
      </c>
      <c r="H48" s="99"/>
      <c r="I48" s="97" t="str">
        <f t="shared" si="3"/>
        <v>Обед (работа)</v>
      </c>
      <c r="J48" s="97" t="s">
        <v>93</v>
      </c>
      <c r="K48" s="97" t="s">
        <v>94</v>
      </c>
      <c r="L48" s="97" t="s">
        <v>95</v>
      </c>
      <c r="M48" s="97" t="s">
        <v>92</v>
      </c>
      <c r="N48" s="97"/>
      <c r="O48" s="97"/>
      <c r="P48" s="97"/>
    </row>
    <row r="49">
      <c r="A49" s="92">
        <f t="shared" si="1"/>
        <v>3</v>
      </c>
      <c r="B49" s="92">
        <f t="shared" si="2"/>
        <v>1</v>
      </c>
      <c r="C49" s="93">
        <v>43116.0</v>
      </c>
      <c r="D49" s="94" t="s">
        <v>114</v>
      </c>
      <c r="E49" s="94" t="s">
        <v>18</v>
      </c>
      <c r="F49" s="94" t="s">
        <v>115</v>
      </c>
      <c r="G49" s="95">
        <v>300.0</v>
      </c>
      <c r="H49" s="99"/>
      <c r="I49" s="97" t="str">
        <f t="shared" si="3"/>
        <v>Родственники</v>
      </c>
      <c r="J49" s="97" t="s">
        <v>116</v>
      </c>
      <c r="K49" s="97" t="s">
        <v>115</v>
      </c>
      <c r="L49" s="97"/>
      <c r="M49" s="97"/>
      <c r="N49" s="97"/>
      <c r="O49" s="97"/>
      <c r="P49" s="97"/>
    </row>
    <row r="50">
      <c r="A50" s="92">
        <f t="shared" si="1"/>
        <v>4</v>
      </c>
      <c r="B50" s="92">
        <f t="shared" si="2"/>
        <v>1</v>
      </c>
      <c r="C50" s="93">
        <v>43117.0</v>
      </c>
      <c r="D50" s="94" t="s">
        <v>83</v>
      </c>
      <c r="E50" s="94" t="s">
        <v>24</v>
      </c>
      <c r="F50" s="94" t="s">
        <v>83</v>
      </c>
      <c r="G50" s="95">
        <v>88.0</v>
      </c>
      <c r="H50" s="99"/>
      <c r="I50" s="97" t="str">
        <f t="shared" si="3"/>
        <v>Такси</v>
      </c>
      <c r="J50" s="97" t="s">
        <v>81</v>
      </c>
      <c r="K50" s="97" t="s">
        <v>82</v>
      </c>
      <c r="L50" s="97" t="s">
        <v>83</v>
      </c>
      <c r="M50" s="97" t="s">
        <v>84</v>
      </c>
      <c r="N50" s="97"/>
      <c r="O50" s="97"/>
      <c r="P50" s="97"/>
    </row>
    <row r="51">
      <c r="A51" s="92">
        <f t="shared" si="1"/>
        <v>4</v>
      </c>
      <c r="B51" s="92">
        <f t="shared" si="2"/>
        <v>1</v>
      </c>
      <c r="C51" s="93">
        <v>43117.0</v>
      </c>
      <c r="D51" s="94" t="s">
        <v>83</v>
      </c>
      <c r="E51" s="94" t="s">
        <v>24</v>
      </c>
      <c r="F51" s="94" t="s">
        <v>83</v>
      </c>
      <c r="G51" s="95" t="s">
        <v>125</v>
      </c>
      <c r="H51" s="99"/>
      <c r="I51" s="97" t="str">
        <f t="shared" si="3"/>
        <v>Такси</v>
      </c>
      <c r="J51" s="97" t="s">
        <v>81</v>
      </c>
      <c r="K51" s="97" t="s">
        <v>82</v>
      </c>
      <c r="L51" s="97" t="s">
        <v>83</v>
      </c>
      <c r="M51" s="97" t="s">
        <v>84</v>
      </c>
      <c r="N51" s="97"/>
      <c r="O51" s="97"/>
      <c r="P51" s="97"/>
    </row>
    <row r="52">
      <c r="A52" s="92">
        <f t="shared" si="1"/>
        <v>4</v>
      </c>
      <c r="B52" s="92">
        <f t="shared" si="2"/>
        <v>1</v>
      </c>
      <c r="C52" s="93">
        <v>43117.0</v>
      </c>
      <c r="D52" s="94" t="s">
        <v>126</v>
      </c>
      <c r="E52" s="94" t="s">
        <v>26</v>
      </c>
      <c r="F52" s="100"/>
      <c r="G52" s="95">
        <v>500.0</v>
      </c>
      <c r="H52" s="99"/>
      <c r="I52" s="97" t="str">
        <f t="shared" si="3"/>
        <v/>
      </c>
      <c r="J52" s="97"/>
      <c r="K52" s="97"/>
      <c r="L52" s="97"/>
      <c r="M52" s="97"/>
      <c r="N52" s="97"/>
      <c r="O52" s="97"/>
      <c r="P52" s="97"/>
    </row>
    <row r="53">
      <c r="A53" s="92">
        <f t="shared" si="1"/>
        <v>5</v>
      </c>
      <c r="B53" s="92">
        <f t="shared" si="2"/>
        <v>1</v>
      </c>
      <c r="C53" s="93">
        <v>43118.0</v>
      </c>
      <c r="D53" s="94" t="s">
        <v>91</v>
      </c>
      <c r="E53" s="94" t="s">
        <v>15</v>
      </c>
      <c r="F53" s="94" t="s">
        <v>117</v>
      </c>
      <c r="G53" s="95">
        <v>380.0</v>
      </c>
      <c r="H53" s="99"/>
      <c r="I53" s="97" t="str">
        <f t="shared" si="3"/>
        <v>Обед (работа)</v>
      </c>
      <c r="J53" s="97" t="s">
        <v>93</v>
      </c>
      <c r="K53" s="97" t="s">
        <v>94</v>
      </c>
      <c r="L53" s="97" t="s">
        <v>95</v>
      </c>
      <c r="M53" s="97" t="s">
        <v>92</v>
      </c>
      <c r="N53" s="97"/>
      <c r="O53" s="97"/>
      <c r="P53" s="97"/>
    </row>
    <row r="54">
      <c r="A54" s="92">
        <f t="shared" si="1"/>
        <v>6</v>
      </c>
      <c r="B54" s="92">
        <f t="shared" si="2"/>
        <v>1</v>
      </c>
      <c r="C54" s="93">
        <v>43119.0</v>
      </c>
      <c r="D54" s="94" t="s">
        <v>91</v>
      </c>
      <c r="E54" s="94" t="s">
        <v>15</v>
      </c>
      <c r="F54" s="94" t="s">
        <v>117</v>
      </c>
      <c r="G54" s="95">
        <v>402.0</v>
      </c>
      <c r="H54" s="99"/>
      <c r="I54" s="97" t="str">
        <f t="shared" si="3"/>
        <v>Обед (работа)</v>
      </c>
      <c r="J54" s="97" t="s">
        <v>93</v>
      </c>
      <c r="K54" s="97" t="s">
        <v>94</v>
      </c>
      <c r="L54" s="97" t="s">
        <v>95</v>
      </c>
      <c r="M54" s="97" t="s">
        <v>92</v>
      </c>
      <c r="N54" s="97"/>
      <c r="O54" s="97"/>
      <c r="P54" s="97"/>
    </row>
    <row r="55">
      <c r="A55" s="92">
        <f t="shared" si="1"/>
        <v>6</v>
      </c>
      <c r="B55" s="92">
        <f t="shared" si="2"/>
        <v>1</v>
      </c>
      <c r="C55" s="93">
        <v>43119.0</v>
      </c>
      <c r="D55" s="94" t="s">
        <v>80</v>
      </c>
      <c r="E55" s="94" t="s">
        <v>24</v>
      </c>
      <c r="F55" s="94" t="s">
        <v>80</v>
      </c>
      <c r="G55" s="95">
        <v>779.0</v>
      </c>
      <c r="H55" s="99"/>
      <c r="I55" s="97" t="str">
        <f t="shared" si="3"/>
        <v>Такси</v>
      </c>
      <c r="J55" s="97" t="s">
        <v>81</v>
      </c>
      <c r="K55" s="97" t="s">
        <v>82</v>
      </c>
      <c r="L55" s="97" t="s">
        <v>83</v>
      </c>
      <c r="M55" s="97" t="s">
        <v>84</v>
      </c>
      <c r="N55" s="97"/>
      <c r="O55" s="97"/>
      <c r="P55" s="97"/>
    </row>
    <row r="56">
      <c r="A56" s="92">
        <f t="shared" si="1"/>
        <v>6</v>
      </c>
      <c r="B56" s="92">
        <f t="shared" si="2"/>
        <v>1</v>
      </c>
      <c r="C56" s="93">
        <v>43119.0</v>
      </c>
      <c r="D56" s="94" t="s">
        <v>127</v>
      </c>
      <c r="E56" s="94" t="s">
        <v>40</v>
      </c>
      <c r="F56" s="100"/>
      <c r="G56" s="95">
        <v>500.0</v>
      </c>
      <c r="H56" s="99"/>
      <c r="I56" s="97" t="str">
        <f t="shared" si="3"/>
        <v/>
      </c>
      <c r="J56" s="97"/>
      <c r="K56" s="97"/>
      <c r="L56" s="97"/>
      <c r="M56" s="97"/>
      <c r="N56" s="97"/>
      <c r="O56" s="97"/>
      <c r="P56" s="97"/>
    </row>
    <row r="57">
      <c r="A57" s="92">
        <f t="shared" si="1"/>
        <v>6</v>
      </c>
      <c r="B57" s="92">
        <f t="shared" si="2"/>
        <v>1</v>
      </c>
      <c r="C57" s="93">
        <v>43119.0</v>
      </c>
      <c r="D57" s="94" t="s">
        <v>86</v>
      </c>
      <c r="E57" s="94" t="s">
        <v>30</v>
      </c>
      <c r="F57" s="94" t="s">
        <v>86</v>
      </c>
      <c r="G57" s="95" t="s">
        <v>128</v>
      </c>
      <c r="H57" s="99"/>
      <c r="I57" s="97" t="str">
        <f t="shared" si="3"/>
        <v>Бар</v>
      </c>
      <c r="J57" s="97" t="s">
        <v>87</v>
      </c>
      <c r="K57" s="97" t="s">
        <v>88</v>
      </c>
      <c r="L57" s="97" t="s">
        <v>89</v>
      </c>
      <c r="M57" s="97" t="s">
        <v>90</v>
      </c>
      <c r="N57" s="97"/>
      <c r="O57" s="97"/>
      <c r="P57" s="97"/>
    </row>
    <row r="58">
      <c r="A58" s="92">
        <f t="shared" si="1"/>
        <v>7</v>
      </c>
      <c r="B58" s="92">
        <f t="shared" si="2"/>
        <v>1</v>
      </c>
      <c r="C58" s="93">
        <v>43120.0</v>
      </c>
      <c r="D58" s="94" t="s">
        <v>129</v>
      </c>
      <c r="E58" s="94" t="s">
        <v>30</v>
      </c>
      <c r="F58" s="94" t="s">
        <v>89</v>
      </c>
      <c r="G58" s="95" t="s">
        <v>130</v>
      </c>
      <c r="H58" s="99"/>
      <c r="I58" s="97" t="str">
        <f t="shared" si="3"/>
        <v>Бар</v>
      </c>
      <c r="J58" s="97" t="s">
        <v>87</v>
      </c>
      <c r="K58" s="97" t="s">
        <v>88</v>
      </c>
      <c r="L58" s="97" t="s">
        <v>89</v>
      </c>
      <c r="M58" s="97" t="s">
        <v>90</v>
      </c>
      <c r="N58" s="97"/>
      <c r="O58" s="97"/>
      <c r="P58" s="97"/>
    </row>
    <row r="59">
      <c r="A59" s="92">
        <f t="shared" si="1"/>
        <v>7</v>
      </c>
      <c r="B59" s="92">
        <f t="shared" si="2"/>
        <v>1</v>
      </c>
      <c r="C59" s="93">
        <v>43120.0</v>
      </c>
      <c r="D59" s="94" t="s">
        <v>131</v>
      </c>
      <c r="E59" s="94" t="s">
        <v>15</v>
      </c>
      <c r="F59" s="94" t="s">
        <v>95</v>
      </c>
      <c r="G59" s="95">
        <v>402.0</v>
      </c>
      <c r="H59" s="99"/>
      <c r="I59" s="97" t="str">
        <f t="shared" si="3"/>
        <v>Обед (работа)</v>
      </c>
      <c r="J59" s="97" t="s">
        <v>93</v>
      </c>
      <c r="K59" s="97" t="s">
        <v>94</v>
      </c>
      <c r="L59" s="97" t="s">
        <v>95</v>
      </c>
      <c r="M59" s="97" t="s">
        <v>92</v>
      </c>
      <c r="N59" s="97"/>
      <c r="O59" s="97"/>
      <c r="P59" s="97"/>
    </row>
    <row r="60">
      <c r="A60" s="92">
        <f t="shared" si="1"/>
        <v>7</v>
      </c>
      <c r="B60" s="92">
        <f t="shared" si="2"/>
        <v>1</v>
      </c>
      <c r="C60" s="93">
        <v>43120.0</v>
      </c>
      <c r="D60" s="94" t="s">
        <v>95</v>
      </c>
      <c r="E60" s="94" t="s">
        <v>26</v>
      </c>
      <c r="F60" s="100"/>
      <c r="G60" s="95">
        <v>306.0</v>
      </c>
      <c r="H60" s="99"/>
      <c r="I60" s="97" t="str">
        <f t="shared" si="3"/>
        <v/>
      </c>
      <c r="J60" s="97"/>
      <c r="K60" s="97"/>
      <c r="L60" s="97"/>
      <c r="M60" s="97"/>
      <c r="N60" s="97"/>
      <c r="O60" s="97"/>
      <c r="P60" s="97"/>
    </row>
    <row r="61">
      <c r="A61" s="92">
        <f t="shared" si="1"/>
        <v>7</v>
      </c>
      <c r="B61" s="92">
        <f t="shared" si="2"/>
        <v>1</v>
      </c>
      <c r="C61" s="93">
        <v>43120.0</v>
      </c>
      <c r="D61" s="94" t="s">
        <v>97</v>
      </c>
      <c r="E61" s="94" t="s">
        <v>21</v>
      </c>
      <c r="F61" s="94" t="s">
        <v>97</v>
      </c>
      <c r="G61" s="95">
        <v>150.0</v>
      </c>
      <c r="H61" s="99"/>
      <c r="I61" s="97" t="str">
        <f t="shared" si="3"/>
        <v>Вино</v>
      </c>
      <c r="J61" s="97" t="s">
        <v>97</v>
      </c>
      <c r="K61" s="97" t="s">
        <v>98</v>
      </c>
      <c r="L61" s="97" t="s">
        <v>99</v>
      </c>
      <c r="M61" s="97" t="s">
        <v>100</v>
      </c>
      <c r="N61" s="97"/>
      <c r="O61" s="97"/>
      <c r="P61" s="97"/>
    </row>
    <row r="62">
      <c r="A62" s="92">
        <f t="shared" si="1"/>
        <v>7</v>
      </c>
      <c r="B62" s="92">
        <f t="shared" si="2"/>
        <v>1</v>
      </c>
      <c r="C62" s="93">
        <v>43120.0</v>
      </c>
      <c r="D62" s="94" t="s">
        <v>26</v>
      </c>
      <c r="E62" s="94" t="s">
        <v>26</v>
      </c>
      <c r="F62" s="100"/>
      <c r="G62" s="95">
        <v>388.0</v>
      </c>
      <c r="H62" s="99"/>
      <c r="I62" s="97" t="str">
        <f t="shared" si="3"/>
        <v/>
      </c>
      <c r="J62" s="97"/>
      <c r="K62" s="97"/>
      <c r="L62" s="97"/>
      <c r="M62" s="97"/>
      <c r="N62" s="97"/>
      <c r="O62" s="97"/>
      <c r="P62" s="97"/>
    </row>
    <row r="63">
      <c r="A63" s="92">
        <f t="shared" si="1"/>
        <v>7</v>
      </c>
      <c r="B63" s="92">
        <f t="shared" si="2"/>
        <v>1</v>
      </c>
      <c r="C63" s="93">
        <v>43120.0</v>
      </c>
      <c r="D63" s="94" t="s">
        <v>101</v>
      </c>
      <c r="E63" s="94" t="s">
        <v>15</v>
      </c>
      <c r="F63" s="94" t="s">
        <v>110</v>
      </c>
      <c r="G63" s="95">
        <v>468.0</v>
      </c>
      <c r="H63" s="99"/>
      <c r="I63" s="97" t="str">
        <f t="shared" si="3"/>
        <v>Обед (работа)</v>
      </c>
      <c r="J63" s="97" t="s">
        <v>93</v>
      </c>
      <c r="K63" s="97" t="s">
        <v>94</v>
      </c>
      <c r="L63" s="97" t="s">
        <v>95</v>
      </c>
      <c r="M63" s="97" t="s">
        <v>92</v>
      </c>
      <c r="N63" s="97"/>
      <c r="O63" s="97"/>
      <c r="P63" s="97"/>
    </row>
    <row r="64">
      <c r="A64" s="92">
        <f t="shared" si="1"/>
        <v>7</v>
      </c>
      <c r="B64" s="92">
        <f t="shared" si="2"/>
        <v>1</v>
      </c>
      <c r="C64" s="93">
        <v>43120.0</v>
      </c>
      <c r="D64" s="94" t="s">
        <v>132</v>
      </c>
      <c r="E64" s="94" t="s">
        <v>15</v>
      </c>
      <c r="F64" s="94" t="s">
        <v>95</v>
      </c>
      <c r="G64" s="95">
        <v>207.0</v>
      </c>
      <c r="H64" s="99"/>
      <c r="I64" s="97" t="str">
        <f t="shared" si="3"/>
        <v>Обед (работа)</v>
      </c>
      <c r="J64" s="97" t="s">
        <v>93</v>
      </c>
      <c r="K64" s="97" t="s">
        <v>94</v>
      </c>
      <c r="L64" s="97" t="s">
        <v>95</v>
      </c>
      <c r="M64" s="97" t="s">
        <v>92</v>
      </c>
      <c r="N64" s="97"/>
      <c r="O64" s="97"/>
      <c r="P64" s="97"/>
    </row>
    <row r="65">
      <c r="A65" s="92">
        <f t="shared" si="1"/>
        <v>7</v>
      </c>
      <c r="B65" s="92">
        <f t="shared" si="2"/>
        <v>1</v>
      </c>
      <c r="C65" s="93">
        <v>43120.0</v>
      </c>
      <c r="D65" s="94" t="s">
        <v>80</v>
      </c>
      <c r="E65" s="94" t="s">
        <v>24</v>
      </c>
      <c r="F65" s="94" t="s">
        <v>80</v>
      </c>
      <c r="G65" s="95">
        <v>300.0</v>
      </c>
      <c r="H65" s="99"/>
      <c r="I65" s="97" t="str">
        <f t="shared" si="3"/>
        <v>Такси</v>
      </c>
      <c r="J65" s="97" t="s">
        <v>81</v>
      </c>
      <c r="K65" s="97" t="s">
        <v>82</v>
      </c>
      <c r="L65" s="97" t="s">
        <v>83</v>
      </c>
      <c r="M65" s="97" t="s">
        <v>84</v>
      </c>
      <c r="N65" s="97"/>
      <c r="O65" s="97"/>
      <c r="P65" s="97"/>
    </row>
    <row r="66">
      <c r="A66" s="92">
        <f t="shared" si="1"/>
        <v>1</v>
      </c>
      <c r="B66" s="92">
        <f t="shared" si="2"/>
        <v>1</v>
      </c>
      <c r="C66" s="93">
        <v>43121.0</v>
      </c>
      <c r="D66" s="94" t="s">
        <v>80</v>
      </c>
      <c r="E66" s="94" t="s">
        <v>24</v>
      </c>
      <c r="F66" s="94" t="s">
        <v>80</v>
      </c>
      <c r="G66" s="95">
        <v>216.0</v>
      </c>
      <c r="H66" s="99"/>
      <c r="I66" s="97" t="str">
        <f t="shared" si="3"/>
        <v>Такси</v>
      </c>
      <c r="J66" s="97" t="s">
        <v>81</v>
      </c>
      <c r="K66" s="97" t="s">
        <v>82</v>
      </c>
      <c r="L66" s="97" t="s">
        <v>83</v>
      </c>
      <c r="M66" s="97" t="s">
        <v>84</v>
      </c>
      <c r="N66" s="97"/>
      <c r="O66" s="97"/>
      <c r="P66" s="97"/>
    </row>
    <row r="67">
      <c r="A67" s="92">
        <f t="shared" si="1"/>
        <v>1</v>
      </c>
      <c r="B67" s="92">
        <f t="shared" si="2"/>
        <v>1</v>
      </c>
      <c r="C67" s="93">
        <v>43121.0</v>
      </c>
      <c r="D67" s="94" t="s">
        <v>26</v>
      </c>
      <c r="E67" s="94" t="s">
        <v>26</v>
      </c>
      <c r="F67" s="100"/>
      <c r="G67" s="95">
        <v>342.0</v>
      </c>
      <c r="H67" s="99"/>
      <c r="I67" s="97" t="str">
        <f t="shared" si="3"/>
        <v/>
      </c>
      <c r="J67" s="97"/>
      <c r="K67" s="97"/>
      <c r="L67" s="97"/>
      <c r="M67" s="97"/>
      <c r="N67" s="97"/>
      <c r="O67" s="97"/>
      <c r="P67" s="97"/>
    </row>
    <row r="68">
      <c r="A68" s="92">
        <f t="shared" si="1"/>
        <v>2</v>
      </c>
      <c r="B68" s="92">
        <f t="shared" si="2"/>
        <v>1</v>
      </c>
      <c r="C68" s="93">
        <v>43122.0</v>
      </c>
      <c r="D68" s="94" t="s">
        <v>91</v>
      </c>
      <c r="E68" s="94" t="s">
        <v>15</v>
      </c>
      <c r="F68" s="94" t="s">
        <v>117</v>
      </c>
      <c r="G68" s="95">
        <v>495.0</v>
      </c>
      <c r="H68" s="99"/>
      <c r="I68" s="97" t="str">
        <f t="shared" si="3"/>
        <v>Обед (работа)</v>
      </c>
      <c r="J68" s="97" t="s">
        <v>93</v>
      </c>
      <c r="K68" s="97" t="s">
        <v>94</v>
      </c>
      <c r="L68" s="97" t="s">
        <v>95</v>
      </c>
      <c r="M68" s="97" t="s">
        <v>92</v>
      </c>
      <c r="N68" s="97"/>
      <c r="O68" s="97"/>
      <c r="P68" s="97"/>
    </row>
    <row r="69">
      <c r="A69" s="92">
        <f t="shared" si="1"/>
        <v>2</v>
      </c>
      <c r="B69" s="92">
        <f t="shared" si="2"/>
        <v>1</v>
      </c>
      <c r="C69" s="93">
        <v>43122.0</v>
      </c>
      <c r="D69" s="94" t="s">
        <v>93</v>
      </c>
      <c r="E69" s="94" t="s">
        <v>15</v>
      </c>
      <c r="F69" s="94" t="s">
        <v>93</v>
      </c>
      <c r="G69" s="95">
        <v>100.0</v>
      </c>
      <c r="H69" s="99"/>
      <c r="I69" s="97" t="str">
        <f t="shared" si="3"/>
        <v>Обед (работа)</v>
      </c>
      <c r="J69" s="97" t="s">
        <v>93</v>
      </c>
      <c r="K69" s="97" t="s">
        <v>94</v>
      </c>
      <c r="L69" s="97" t="s">
        <v>95</v>
      </c>
      <c r="M69" s="97" t="s">
        <v>92</v>
      </c>
      <c r="N69" s="97"/>
      <c r="O69" s="97"/>
      <c r="P69" s="97"/>
    </row>
    <row r="70">
      <c r="A70" s="92">
        <f t="shared" si="1"/>
        <v>2</v>
      </c>
      <c r="B70" s="92">
        <f t="shared" si="2"/>
        <v>1</v>
      </c>
      <c r="C70" s="93">
        <v>43122.0</v>
      </c>
      <c r="D70" s="94" t="s">
        <v>80</v>
      </c>
      <c r="E70" s="94" t="s">
        <v>24</v>
      </c>
      <c r="F70" s="94" t="s">
        <v>80</v>
      </c>
      <c r="G70" s="95">
        <v>220.0</v>
      </c>
      <c r="H70" s="99"/>
      <c r="I70" s="97" t="str">
        <f t="shared" si="3"/>
        <v>Такси</v>
      </c>
      <c r="J70" s="97" t="s">
        <v>81</v>
      </c>
      <c r="K70" s="97" t="s">
        <v>82</v>
      </c>
      <c r="L70" s="97" t="s">
        <v>83</v>
      </c>
      <c r="M70" s="97" t="s">
        <v>84</v>
      </c>
      <c r="N70" s="97"/>
      <c r="O70" s="97"/>
      <c r="P70" s="97"/>
    </row>
    <row r="71">
      <c r="A71" s="92">
        <f t="shared" si="1"/>
        <v>2</v>
      </c>
      <c r="B71" s="92">
        <f t="shared" si="2"/>
        <v>1</v>
      </c>
      <c r="C71" s="93">
        <v>43122.0</v>
      </c>
      <c r="D71" s="94" t="s">
        <v>98</v>
      </c>
      <c r="E71" s="94" t="s">
        <v>21</v>
      </c>
      <c r="F71" s="94" t="s">
        <v>98</v>
      </c>
      <c r="G71" s="95">
        <v>720.0</v>
      </c>
      <c r="H71" s="99"/>
      <c r="I71" s="97" t="str">
        <f t="shared" si="3"/>
        <v>Вино</v>
      </c>
      <c r="J71" s="97" t="s">
        <v>97</v>
      </c>
      <c r="K71" s="97" t="s">
        <v>98</v>
      </c>
      <c r="L71" s="97" t="s">
        <v>99</v>
      </c>
      <c r="M71" s="97" t="s">
        <v>100</v>
      </c>
      <c r="N71" s="97"/>
      <c r="O71" s="97"/>
      <c r="P71" s="97"/>
    </row>
    <row r="72">
      <c r="A72" s="92">
        <f t="shared" si="1"/>
        <v>2</v>
      </c>
      <c r="B72" s="92">
        <f t="shared" si="2"/>
        <v>1</v>
      </c>
      <c r="C72" s="93">
        <v>43122.0</v>
      </c>
      <c r="D72" s="94" t="s">
        <v>95</v>
      </c>
      <c r="E72" s="94" t="s">
        <v>15</v>
      </c>
      <c r="F72" s="94" t="s">
        <v>95</v>
      </c>
      <c r="G72" s="95">
        <v>459.0</v>
      </c>
      <c r="H72" s="99"/>
      <c r="I72" s="97" t="str">
        <f t="shared" si="3"/>
        <v>Обед (работа)</v>
      </c>
      <c r="J72" s="97" t="s">
        <v>93</v>
      </c>
      <c r="K72" s="97" t="s">
        <v>94</v>
      </c>
      <c r="L72" s="97" t="s">
        <v>95</v>
      </c>
      <c r="M72" s="97" t="s">
        <v>92</v>
      </c>
      <c r="N72" s="97"/>
      <c r="O72" s="97"/>
      <c r="P72" s="97"/>
    </row>
    <row r="73">
      <c r="A73" s="92">
        <f t="shared" si="1"/>
        <v>3</v>
      </c>
      <c r="B73" s="92">
        <f t="shared" si="2"/>
        <v>1</v>
      </c>
      <c r="C73" s="93">
        <v>43123.0</v>
      </c>
      <c r="D73" s="94" t="s">
        <v>80</v>
      </c>
      <c r="E73" s="94" t="s">
        <v>24</v>
      </c>
      <c r="F73" s="94" t="s">
        <v>80</v>
      </c>
      <c r="G73" s="95">
        <v>128.0</v>
      </c>
      <c r="H73" s="99"/>
      <c r="I73" s="97" t="str">
        <f t="shared" si="3"/>
        <v>Такси</v>
      </c>
      <c r="J73" s="97" t="s">
        <v>81</v>
      </c>
      <c r="K73" s="97" t="s">
        <v>82</v>
      </c>
      <c r="L73" s="97" t="s">
        <v>83</v>
      </c>
      <c r="M73" s="97" t="s">
        <v>84</v>
      </c>
      <c r="N73" s="97"/>
      <c r="O73" s="97"/>
      <c r="P73" s="97"/>
    </row>
    <row r="74">
      <c r="A74" s="92">
        <f t="shared" si="1"/>
        <v>3</v>
      </c>
      <c r="B74" s="92">
        <f t="shared" si="2"/>
        <v>1</v>
      </c>
      <c r="C74" s="93">
        <v>43123.0</v>
      </c>
      <c r="D74" s="94" t="s">
        <v>133</v>
      </c>
      <c r="E74" s="94" t="s">
        <v>18</v>
      </c>
      <c r="F74" s="94" t="s">
        <v>115</v>
      </c>
      <c r="G74" s="95">
        <v>300.0</v>
      </c>
      <c r="H74" s="99"/>
      <c r="I74" s="97" t="str">
        <f t="shared" si="3"/>
        <v>Родственники</v>
      </c>
      <c r="J74" s="97" t="s">
        <v>116</v>
      </c>
      <c r="K74" s="97" t="s">
        <v>115</v>
      </c>
      <c r="L74" s="97"/>
      <c r="M74" s="97"/>
      <c r="N74" s="97"/>
      <c r="O74" s="97"/>
      <c r="P74" s="97"/>
    </row>
    <row r="75">
      <c r="A75" s="92">
        <f t="shared" si="1"/>
        <v>4</v>
      </c>
      <c r="B75" s="92">
        <f t="shared" si="2"/>
        <v>1</v>
      </c>
      <c r="C75" s="93">
        <v>43124.0</v>
      </c>
      <c r="D75" s="94" t="s">
        <v>93</v>
      </c>
      <c r="E75" s="94" t="s">
        <v>15</v>
      </c>
      <c r="F75" s="94" t="s">
        <v>93</v>
      </c>
      <c r="G75" s="95">
        <v>229.0</v>
      </c>
      <c r="H75" s="99"/>
      <c r="I75" s="97" t="str">
        <f t="shared" si="3"/>
        <v>Обед (работа)</v>
      </c>
      <c r="J75" s="97" t="s">
        <v>93</v>
      </c>
      <c r="K75" s="97" t="s">
        <v>94</v>
      </c>
      <c r="L75" s="97" t="s">
        <v>95</v>
      </c>
      <c r="M75" s="97" t="s">
        <v>92</v>
      </c>
      <c r="N75" s="97"/>
      <c r="O75" s="97"/>
      <c r="P75" s="97"/>
    </row>
    <row r="76">
      <c r="A76" s="92">
        <f t="shared" si="1"/>
        <v>4</v>
      </c>
      <c r="B76" s="92">
        <f t="shared" si="2"/>
        <v>1</v>
      </c>
      <c r="C76" s="93">
        <v>43124.0</v>
      </c>
      <c r="D76" s="94" t="s">
        <v>93</v>
      </c>
      <c r="E76" s="94" t="s">
        <v>15</v>
      </c>
      <c r="F76" s="94" t="s">
        <v>93</v>
      </c>
      <c r="G76" s="95">
        <v>101.0</v>
      </c>
      <c r="H76" s="99"/>
      <c r="I76" s="97" t="str">
        <f t="shared" si="3"/>
        <v>Обед (работа)</v>
      </c>
      <c r="J76" s="97" t="s">
        <v>93</v>
      </c>
      <c r="K76" s="97" t="s">
        <v>94</v>
      </c>
      <c r="L76" s="97" t="s">
        <v>95</v>
      </c>
      <c r="M76" s="97" t="s">
        <v>92</v>
      </c>
      <c r="N76" s="97"/>
      <c r="O76" s="97"/>
      <c r="P76" s="97"/>
    </row>
    <row r="77">
      <c r="A77" s="92">
        <f t="shared" si="1"/>
        <v>5</v>
      </c>
      <c r="B77" s="92">
        <f t="shared" si="2"/>
        <v>1</v>
      </c>
      <c r="C77" s="93">
        <v>43125.0</v>
      </c>
      <c r="D77" s="94" t="s">
        <v>91</v>
      </c>
      <c r="E77" s="94" t="s">
        <v>15</v>
      </c>
      <c r="F77" s="94" t="s">
        <v>117</v>
      </c>
      <c r="G77" s="95">
        <v>373.0</v>
      </c>
      <c r="H77" s="99"/>
      <c r="I77" s="97" t="str">
        <f t="shared" si="3"/>
        <v>Обед (работа)</v>
      </c>
      <c r="J77" s="97" t="s">
        <v>93</v>
      </c>
      <c r="K77" s="97" t="s">
        <v>94</v>
      </c>
      <c r="L77" s="97" t="s">
        <v>95</v>
      </c>
      <c r="M77" s="97" t="s">
        <v>92</v>
      </c>
      <c r="N77" s="97"/>
      <c r="O77" s="97"/>
      <c r="P77" s="97"/>
    </row>
    <row r="78">
      <c r="A78" s="92">
        <f t="shared" si="1"/>
        <v>5</v>
      </c>
      <c r="B78" s="92">
        <f t="shared" si="2"/>
        <v>1</v>
      </c>
      <c r="C78" s="93">
        <v>43125.0</v>
      </c>
      <c r="D78" s="94" t="s">
        <v>93</v>
      </c>
      <c r="E78" s="94" t="s">
        <v>15</v>
      </c>
      <c r="F78" s="94" t="s">
        <v>93</v>
      </c>
      <c r="G78" s="95">
        <v>197.0</v>
      </c>
      <c r="H78" s="99"/>
      <c r="I78" s="97" t="str">
        <f t="shared" si="3"/>
        <v>Обед (работа)</v>
      </c>
      <c r="J78" s="97" t="s">
        <v>93</v>
      </c>
      <c r="K78" s="97" t="s">
        <v>94</v>
      </c>
      <c r="L78" s="97" t="s">
        <v>95</v>
      </c>
      <c r="M78" s="97" t="s">
        <v>92</v>
      </c>
      <c r="N78" s="97"/>
      <c r="O78" s="97"/>
      <c r="P78" s="97"/>
    </row>
    <row r="79">
      <c r="A79" s="92">
        <f t="shared" si="1"/>
        <v>5</v>
      </c>
      <c r="B79" s="92">
        <f t="shared" si="2"/>
        <v>1</v>
      </c>
      <c r="C79" s="93">
        <v>43125.0</v>
      </c>
      <c r="D79" s="94" t="s">
        <v>95</v>
      </c>
      <c r="E79" s="94" t="s">
        <v>15</v>
      </c>
      <c r="F79" s="94" t="s">
        <v>95</v>
      </c>
      <c r="G79" s="95">
        <v>75.0</v>
      </c>
      <c r="H79" s="99"/>
      <c r="I79" s="97" t="str">
        <f t="shared" si="3"/>
        <v>Обед (работа)</v>
      </c>
      <c r="J79" s="97" t="s">
        <v>93</v>
      </c>
      <c r="K79" s="97" t="s">
        <v>94</v>
      </c>
      <c r="L79" s="97" t="s">
        <v>95</v>
      </c>
      <c r="M79" s="97" t="s">
        <v>92</v>
      </c>
      <c r="N79" s="97"/>
      <c r="O79" s="97"/>
      <c r="P79" s="97"/>
    </row>
    <row r="80">
      <c r="A80" s="92">
        <f t="shared" si="1"/>
        <v>5</v>
      </c>
      <c r="B80" s="92">
        <f t="shared" si="2"/>
        <v>1</v>
      </c>
      <c r="C80" s="93">
        <v>43125.0</v>
      </c>
      <c r="D80" s="94" t="s">
        <v>133</v>
      </c>
      <c r="E80" s="94" t="s">
        <v>18</v>
      </c>
      <c r="F80" s="94" t="s">
        <v>115</v>
      </c>
      <c r="G80" s="95">
        <v>300.0</v>
      </c>
      <c r="H80" s="99"/>
      <c r="I80" s="97" t="str">
        <f t="shared" si="3"/>
        <v>Родственники</v>
      </c>
      <c r="J80" s="97" t="s">
        <v>116</v>
      </c>
      <c r="K80" s="97" t="s">
        <v>115</v>
      </c>
      <c r="L80" s="97"/>
      <c r="M80" s="97"/>
      <c r="N80" s="97"/>
      <c r="O80" s="97"/>
      <c r="P80" s="97"/>
    </row>
    <row r="81">
      <c r="A81" s="92">
        <f t="shared" si="1"/>
        <v>5</v>
      </c>
      <c r="B81" s="92">
        <f t="shared" si="2"/>
        <v>1</v>
      </c>
      <c r="C81" s="93">
        <v>43125.0</v>
      </c>
      <c r="D81" s="94" t="s">
        <v>80</v>
      </c>
      <c r="E81" s="94" t="s">
        <v>24</v>
      </c>
      <c r="F81" s="94" t="s">
        <v>80</v>
      </c>
      <c r="G81" s="95">
        <v>216.0</v>
      </c>
      <c r="H81" s="99"/>
      <c r="I81" s="97" t="str">
        <f t="shared" si="3"/>
        <v>Такси</v>
      </c>
      <c r="J81" s="97" t="s">
        <v>81</v>
      </c>
      <c r="K81" s="97" t="s">
        <v>82</v>
      </c>
      <c r="L81" s="97" t="s">
        <v>83</v>
      </c>
      <c r="M81" s="97" t="s">
        <v>84</v>
      </c>
      <c r="N81" s="97"/>
      <c r="O81" s="97"/>
      <c r="P81" s="97"/>
    </row>
    <row r="82">
      <c r="A82" s="92">
        <f t="shared" si="1"/>
        <v>5</v>
      </c>
      <c r="B82" s="92">
        <f t="shared" si="2"/>
        <v>1</v>
      </c>
      <c r="C82" s="93">
        <v>43125.0</v>
      </c>
      <c r="D82" s="94" t="s">
        <v>102</v>
      </c>
      <c r="E82" s="94" t="s">
        <v>21</v>
      </c>
      <c r="F82" s="94" t="s">
        <v>102</v>
      </c>
      <c r="G82" s="95" t="s">
        <v>134</v>
      </c>
      <c r="H82" s="99"/>
      <c r="I82" s="97" t="str">
        <f t="shared" si="3"/>
        <v>Вино</v>
      </c>
      <c r="J82" s="97" t="s">
        <v>97</v>
      </c>
      <c r="K82" s="97" t="s">
        <v>98</v>
      </c>
      <c r="L82" s="97" t="s">
        <v>99</v>
      </c>
      <c r="M82" s="97" t="s">
        <v>100</v>
      </c>
      <c r="N82" s="97"/>
      <c r="O82" s="97"/>
      <c r="P82" s="97"/>
    </row>
    <row r="83">
      <c r="A83" s="92">
        <f t="shared" si="1"/>
        <v>5</v>
      </c>
      <c r="B83" s="92">
        <f t="shared" si="2"/>
        <v>1</v>
      </c>
      <c r="C83" s="93">
        <v>43125.0</v>
      </c>
      <c r="D83" s="94" t="s">
        <v>95</v>
      </c>
      <c r="E83" s="94" t="s">
        <v>15</v>
      </c>
      <c r="F83" s="94" t="s">
        <v>95</v>
      </c>
      <c r="G83" s="95">
        <v>906.0</v>
      </c>
      <c r="H83" s="99"/>
      <c r="I83" s="97" t="str">
        <f t="shared" si="3"/>
        <v>Обед (работа)</v>
      </c>
      <c r="J83" s="97" t="s">
        <v>93</v>
      </c>
      <c r="K83" s="97" t="s">
        <v>94</v>
      </c>
      <c r="L83" s="97" t="s">
        <v>95</v>
      </c>
      <c r="M83" s="97" t="s">
        <v>92</v>
      </c>
      <c r="N83" s="97"/>
      <c r="O83" s="97"/>
      <c r="P83" s="97"/>
    </row>
    <row r="84">
      <c r="A84" s="92">
        <f t="shared" si="1"/>
        <v>6</v>
      </c>
      <c r="B84" s="92">
        <f t="shared" si="2"/>
        <v>1</v>
      </c>
      <c r="C84" s="93">
        <v>43126.0</v>
      </c>
      <c r="D84" s="94" t="s">
        <v>80</v>
      </c>
      <c r="E84" s="94" t="s">
        <v>24</v>
      </c>
      <c r="F84" s="94" t="s">
        <v>80</v>
      </c>
      <c r="G84" s="95">
        <v>130.0</v>
      </c>
      <c r="H84" s="99"/>
      <c r="I84" s="97" t="str">
        <f t="shared" si="3"/>
        <v>Такси</v>
      </c>
      <c r="J84" s="97" t="s">
        <v>81</v>
      </c>
      <c r="K84" s="97" t="s">
        <v>82</v>
      </c>
      <c r="L84" s="97" t="s">
        <v>83</v>
      </c>
      <c r="M84" s="97" t="s">
        <v>84</v>
      </c>
      <c r="N84" s="97"/>
      <c r="O84" s="97"/>
      <c r="P84" s="97"/>
    </row>
    <row r="85">
      <c r="A85" s="92">
        <f t="shared" si="1"/>
        <v>6</v>
      </c>
      <c r="B85" s="92">
        <f t="shared" si="2"/>
        <v>1</v>
      </c>
      <c r="C85" s="93">
        <v>43126.0</v>
      </c>
      <c r="D85" s="94" t="s">
        <v>93</v>
      </c>
      <c r="E85" s="94" t="s">
        <v>15</v>
      </c>
      <c r="F85" s="94" t="s">
        <v>93</v>
      </c>
      <c r="G85" s="95">
        <v>226.0</v>
      </c>
      <c r="H85" s="99"/>
      <c r="I85" s="97" t="str">
        <f t="shared" si="3"/>
        <v>Обед (работа)</v>
      </c>
      <c r="J85" s="97" t="s">
        <v>93</v>
      </c>
      <c r="K85" s="97" t="s">
        <v>94</v>
      </c>
      <c r="L85" s="97" t="s">
        <v>95</v>
      </c>
      <c r="M85" s="97" t="s">
        <v>92</v>
      </c>
      <c r="N85" s="97"/>
      <c r="O85" s="97"/>
      <c r="P85" s="97"/>
    </row>
    <row r="86">
      <c r="A86" s="92">
        <f t="shared" si="1"/>
        <v>6</v>
      </c>
      <c r="B86" s="92">
        <f t="shared" si="2"/>
        <v>1</v>
      </c>
      <c r="C86" s="93">
        <v>43126.0</v>
      </c>
      <c r="D86" s="94" t="s">
        <v>93</v>
      </c>
      <c r="E86" s="94" t="s">
        <v>15</v>
      </c>
      <c r="F86" s="94" t="s">
        <v>93</v>
      </c>
      <c r="G86" s="95">
        <v>199.0</v>
      </c>
      <c r="H86" s="99"/>
      <c r="I86" s="97" t="str">
        <f t="shared" si="3"/>
        <v>Обед (работа)</v>
      </c>
      <c r="J86" s="97" t="s">
        <v>93</v>
      </c>
      <c r="K86" s="97" t="s">
        <v>94</v>
      </c>
      <c r="L86" s="97" t="s">
        <v>95</v>
      </c>
      <c r="M86" s="97" t="s">
        <v>92</v>
      </c>
      <c r="N86" s="97"/>
      <c r="O86" s="97"/>
      <c r="P86" s="97"/>
    </row>
    <row r="87">
      <c r="A87" s="92">
        <f t="shared" si="1"/>
        <v>6</v>
      </c>
      <c r="B87" s="92">
        <f t="shared" si="2"/>
        <v>1</v>
      </c>
      <c r="C87" s="93">
        <v>43126.0</v>
      </c>
      <c r="D87" s="94" t="s">
        <v>135</v>
      </c>
      <c r="E87" s="94" t="s">
        <v>18</v>
      </c>
      <c r="F87" s="94" t="s">
        <v>116</v>
      </c>
      <c r="G87" s="95">
        <v>6400.0</v>
      </c>
      <c r="H87" s="99"/>
      <c r="I87" s="97" t="str">
        <f t="shared" si="3"/>
        <v>Родственники</v>
      </c>
      <c r="J87" s="97" t="s">
        <v>116</v>
      </c>
      <c r="K87" s="97" t="s">
        <v>115</v>
      </c>
      <c r="L87" s="97"/>
      <c r="M87" s="97"/>
      <c r="N87" s="97"/>
      <c r="O87" s="97"/>
      <c r="P87" s="97"/>
    </row>
    <row r="88">
      <c r="A88" s="92">
        <f t="shared" si="1"/>
        <v>6</v>
      </c>
      <c r="B88" s="92">
        <f t="shared" si="2"/>
        <v>1</v>
      </c>
      <c r="C88" s="93">
        <v>43126.0</v>
      </c>
      <c r="D88" s="94" t="s">
        <v>136</v>
      </c>
      <c r="E88" s="94" t="s">
        <v>21</v>
      </c>
      <c r="F88" s="94" t="s">
        <v>102</v>
      </c>
      <c r="G88" s="95">
        <v>700.0</v>
      </c>
      <c r="H88" s="99"/>
      <c r="I88" s="97" t="str">
        <f t="shared" si="3"/>
        <v>Вино</v>
      </c>
      <c r="J88" s="97" t="s">
        <v>97</v>
      </c>
      <c r="K88" s="97" t="s">
        <v>98</v>
      </c>
      <c r="L88" s="97" t="s">
        <v>99</v>
      </c>
      <c r="M88" s="97" t="s">
        <v>100</v>
      </c>
      <c r="N88" s="97"/>
      <c r="O88" s="97"/>
      <c r="P88" s="97"/>
    </row>
    <row r="89">
      <c r="A89" s="92">
        <f t="shared" si="1"/>
        <v>6</v>
      </c>
      <c r="B89" s="92">
        <f t="shared" si="2"/>
        <v>1</v>
      </c>
      <c r="C89" s="93">
        <v>43126.0</v>
      </c>
      <c r="D89" s="94" t="s">
        <v>95</v>
      </c>
      <c r="E89" s="94" t="s">
        <v>15</v>
      </c>
      <c r="F89" s="94" t="s">
        <v>95</v>
      </c>
      <c r="G89" s="95">
        <v>461.0</v>
      </c>
      <c r="H89" s="99"/>
      <c r="I89" s="97" t="str">
        <f t="shared" si="3"/>
        <v>Обед (работа)</v>
      </c>
      <c r="J89" s="97" t="s">
        <v>93</v>
      </c>
      <c r="K89" s="97" t="s">
        <v>94</v>
      </c>
      <c r="L89" s="97" t="s">
        <v>95</v>
      </c>
      <c r="M89" s="97" t="s">
        <v>92</v>
      </c>
      <c r="N89" s="97"/>
      <c r="O89" s="97"/>
      <c r="P89" s="97"/>
    </row>
    <row r="90">
      <c r="A90" s="92">
        <f t="shared" si="1"/>
        <v>6</v>
      </c>
      <c r="B90" s="92">
        <f t="shared" si="2"/>
        <v>1</v>
      </c>
      <c r="C90" s="93">
        <v>43126.0</v>
      </c>
      <c r="D90" s="94" t="s">
        <v>80</v>
      </c>
      <c r="E90" s="94" t="s">
        <v>24</v>
      </c>
      <c r="F90" s="94" t="s">
        <v>80</v>
      </c>
      <c r="G90" s="95">
        <v>222.0</v>
      </c>
      <c r="H90" s="99"/>
      <c r="I90" s="97" t="str">
        <f t="shared" si="3"/>
        <v>Такси</v>
      </c>
      <c r="J90" s="97" t="s">
        <v>81</v>
      </c>
      <c r="K90" s="97" t="s">
        <v>82</v>
      </c>
      <c r="L90" s="97" t="s">
        <v>83</v>
      </c>
      <c r="M90" s="97" t="s">
        <v>84</v>
      </c>
      <c r="N90" s="97"/>
      <c r="O90" s="97"/>
      <c r="P90" s="97"/>
    </row>
    <row r="91">
      <c r="A91" s="92">
        <f t="shared" si="1"/>
        <v>6</v>
      </c>
      <c r="B91" s="92">
        <f t="shared" si="2"/>
        <v>1</v>
      </c>
      <c r="C91" s="93">
        <v>43126.0</v>
      </c>
      <c r="D91" s="94" t="s">
        <v>133</v>
      </c>
      <c r="E91" s="94" t="s">
        <v>18</v>
      </c>
      <c r="F91" s="94" t="s">
        <v>115</v>
      </c>
      <c r="G91" s="95">
        <v>300.0</v>
      </c>
      <c r="H91" s="99"/>
      <c r="I91" s="97" t="str">
        <f t="shared" si="3"/>
        <v>Родственники</v>
      </c>
      <c r="J91" s="97" t="s">
        <v>116</v>
      </c>
      <c r="K91" s="97" t="s">
        <v>115</v>
      </c>
      <c r="L91" s="97"/>
      <c r="M91" s="97"/>
      <c r="N91" s="97"/>
      <c r="O91" s="97"/>
      <c r="P91" s="97"/>
    </row>
    <row r="92">
      <c r="A92" s="92">
        <f t="shared" si="1"/>
        <v>7</v>
      </c>
      <c r="B92" s="92">
        <f t="shared" si="2"/>
        <v>1</v>
      </c>
      <c r="C92" s="93">
        <v>43127.0</v>
      </c>
      <c r="D92" s="94" t="s">
        <v>80</v>
      </c>
      <c r="E92" s="94" t="s">
        <v>24</v>
      </c>
      <c r="F92" s="94" t="s">
        <v>80</v>
      </c>
      <c r="G92" s="95">
        <v>229.0</v>
      </c>
      <c r="H92" s="99"/>
      <c r="I92" s="97" t="str">
        <f t="shared" si="3"/>
        <v>Такси</v>
      </c>
      <c r="J92" s="97" t="s">
        <v>81</v>
      </c>
      <c r="K92" s="97" t="s">
        <v>82</v>
      </c>
      <c r="L92" s="97" t="s">
        <v>83</v>
      </c>
      <c r="M92" s="97" t="s">
        <v>84</v>
      </c>
      <c r="N92" s="97"/>
      <c r="O92" s="97"/>
      <c r="P92" s="97"/>
    </row>
    <row r="93">
      <c r="A93" s="92">
        <f t="shared" si="1"/>
        <v>7</v>
      </c>
      <c r="B93" s="92">
        <f t="shared" si="2"/>
        <v>1</v>
      </c>
      <c r="C93" s="93">
        <v>43127.0</v>
      </c>
      <c r="D93" s="94" t="s">
        <v>97</v>
      </c>
      <c r="E93" s="94" t="s">
        <v>21</v>
      </c>
      <c r="F93" s="94" t="s">
        <v>97</v>
      </c>
      <c r="G93" s="95">
        <v>297.0</v>
      </c>
      <c r="H93" s="99"/>
      <c r="I93" s="97" t="str">
        <f t="shared" si="3"/>
        <v>Вино</v>
      </c>
      <c r="J93" s="97" t="s">
        <v>97</v>
      </c>
      <c r="K93" s="97" t="s">
        <v>98</v>
      </c>
      <c r="L93" s="97" t="s">
        <v>99</v>
      </c>
      <c r="M93" s="97" t="s">
        <v>100</v>
      </c>
      <c r="N93" s="97"/>
      <c r="O93" s="97"/>
      <c r="P93" s="97"/>
    </row>
    <row r="94">
      <c r="A94" s="92">
        <f t="shared" si="1"/>
        <v>7</v>
      </c>
      <c r="B94" s="92">
        <f t="shared" si="2"/>
        <v>1</v>
      </c>
      <c r="C94" s="93">
        <v>43127.0</v>
      </c>
      <c r="D94" s="94" t="s">
        <v>102</v>
      </c>
      <c r="E94" s="94" t="s">
        <v>21</v>
      </c>
      <c r="F94" s="94" t="s">
        <v>102</v>
      </c>
      <c r="G94" s="95">
        <v>450.0</v>
      </c>
      <c r="H94" s="99"/>
      <c r="I94" s="97" t="str">
        <f t="shared" si="3"/>
        <v>Вино</v>
      </c>
      <c r="J94" s="97" t="s">
        <v>97</v>
      </c>
      <c r="K94" s="97" t="s">
        <v>98</v>
      </c>
      <c r="L94" s="97" t="s">
        <v>99</v>
      </c>
      <c r="M94" s="97" t="s">
        <v>100</v>
      </c>
      <c r="N94" s="97"/>
      <c r="O94" s="97"/>
      <c r="P94" s="97"/>
    </row>
    <row r="95">
      <c r="A95" s="92">
        <f t="shared" si="1"/>
        <v>1</v>
      </c>
      <c r="B95" s="92">
        <f t="shared" si="2"/>
        <v>1</v>
      </c>
      <c r="C95" s="93">
        <v>43128.0</v>
      </c>
      <c r="D95" s="94" t="s">
        <v>97</v>
      </c>
      <c r="E95" s="94" t="s">
        <v>21</v>
      </c>
      <c r="F95" s="94" t="s">
        <v>97</v>
      </c>
      <c r="G95" s="95">
        <v>832.0</v>
      </c>
      <c r="H95" s="99"/>
      <c r="I95" s="97" t="str">
        <f t="shared" si="3"/>
        <v>Вино</v>
      </c>
      <c r="J95" s="97" t="s">
        <v>97</v>
      </c>
      <c r="K95" s="97" t="s">
        <v>98</v>
      </c>
      <c r="L95" s="97" t="s">
        <v>99</v>
      </c>
      <c r="M95" s="97" t="s">
        <v>100</v>
      </c>
      <c r="N95" s="97"/>
      <c r="O95" s="97"/>
      <c r="P95" s="97"/>
    </row>
    <row r="96">
      <c r="A96" s="92">
        <f t="shared" si="1"/>
        <v>1</v>
      </c>
      <c r="B96" s="92">
        <f t="shared" si="2"/>
        <v>1</v>
      </c>
      <c r="C96" s="93">
        <v>43128.0</v>
      </c>
      <c r="D96" s="94" t="s">
        <v>137</v>
      </c>
      <c r="E96" s="94" t="s">
        <v>46</v>
      </c>
      <c r="F96" s="100"/>
      <c r="G96" s="95">
        <v>450.0</v>
      </c>
      <c r="H96" s="99"/>
      <c r="I96" s="97" t="str">
        <f t="shared" si="3"/>
        <v/>
      </c>
      <c r="J96" s="97"/>
      <c r="K96" s="97"/>
      <c r="L96" s="97"/>
      <c r="M96" s="97"/>
      <c r="N96" s="97"/>
      <c r="O96" s="97"/>
      <c r="P96" s="97"/>
    </row>
    <row r="97">
      <c r="A97" s="92">
        <f t="shared" si="1"/>
        <v>1</v>
      </c>
      <c r="B97" s="92">
        <f t="shared" si="2"/>
        <v>1</v>
      </c>
      <c r="C97" s="93">
        <v>43128.0</v>
      </c>
      <c r="D97" s="94" t="s">
        <v>101</v>
      </c>
      <c r="E97" s="94" t="s">
        <v>15</v>
      </c>
      <c r="F97" s="94" t="s">
        <v>110</v>
      </c>
      <c r="G97" s="95">
        <v>604.0</v>
      </c>
      <c r="H97" s="99"/>
      <c r="I97" s="97" t="str">
        <f t="shared" si="3"/>
        <v>Обед (работа)</v>
      </c>
      <c r="J97" s="97" t="s">
        <v>93</v>
      </c>
      <c r="K97" s="97" t="s">
        <v>94</v>
      </c>
      <c r="L97" s="97" t="s">
        <v>95</v>
      </c>
      <c r="M97" s="97" t="s">
        <v>92</v>
      </c>
      <c r="N97" s="97"/>
      <c r="O97" s="97"/>
      <c r="P97" s="97"/>
    </row>
    <row r="98">
      <c r="A98" s="92">
        <f t="shared" si="1"/>
        <v>1</v>
      </c>
      <c r="B98" s="92">
        <f t="shared" si="2"/>
        <v>1</v>
      </c>
      <c r="C98" s="93">
        <v>43128.0</v>
      </c>
      <c r="D98" s="94" t="s">
        <v>80</v>
      </c>
      <c r="E98" s="94" t="s">
        <v>24</v>
      </c>
      <c r="F98" s="94" t="s">
        <v>80</v>
      </c>
      <c r="G98" s="95">
        <v>361.0</v>
      </c>
      <c r="H98" s="99"/>
      <c r="I98" s="97" t="str">
        <f t="shared" si="3"/>
        <v>Такси</v>
      </c>
      <c r="J98" s="97" t="s">
        <v>81</v>
      </c>
      <c r="K98" s="97" t="s">
        <v>82</v>
      </c>
      <c r="L98" s="97" t="s">
        <v>83</v>
      </c>
      <c r="M98" s="97" t="s">
        <v>84</v>
      </c>
      <c r="N98" s="97"/>
      <c r="O98" s="97"/>
      <c r="P98" s="97"/>
    </row>
    <row r="99">
      <c r="A99" s="92">
        <f t="shared" si="1"/>
        <v>2</v>
      </c>
      <c r="B99" s="92">
        <f t="shared" si="2"/>
        <v>1</v>
      </c>
      <c r="C99" s="93">
        <v>43129.0</v>
      </c>
      <c r="D99" s="94" t="s">
        <v>93</v>
      </c>
      <c r="E99" s="94" t="s">
        <v>15</v>
      </c>
      <c r="F99" s="94" t="s">
        <v>93</v>
      </c>
      <c r="G99" s="95">
        <v>206.0</v>
      </c>
      <c r="H99" s="99"/>
      <c r="I99" s="97" t="str">
        <f t="shared" si="3"/>
        <v>Обед (работа)</v>
      </c>
      <c r="J99" s="97" t="s">
        <v>93</v>
      </c>
      <c r="K99" s="97" t="s">
        <v>94</v>
      </c>
      <c r="L99" s="97" t="s">
        <v>95</v>
      </c>
      <c r="M99" s="97" t="s">
        <v>92</v>
      </c>
      <c r="N99" s="97"/>
      <c r="O99" s="97"/>
      <c r="P99" s="97"/>
    </row>
    <row r="100">
      <c r="A100" s="92">
        <f t="shared" si="1"/>
        <v>2</v>
      </c>
      <c r="B100" s="92">
        <f t="shared" si="2"/>
        <v>1</v>
      </c>
      <c r="C100" s="93">
        <v>43129.0</v>
      </c>
      <c r="D100" s="94" t="s">
        <v>138</v>
      </c>
      <c r="E100" s="94" t="s">
        <v>24</v>
      </c>
      <c r="F100" s="94" t="s">
        <v>82</v>
      </c>
      <c r="G100" s="95">
        <v>100.0</v>
      </c>
      <c r="H100" s="99"/>
      <c r="I100" s="97" t="str">
        <f t="shared" si="3"/>
        <v>Такси</v>
      </c>
      <c r="J100" s="97" t="s">
        <v>81</v>
      </c>
      <c r="K100" s="97" t="s">
        <v>82</v>
      </c>
      <c r="L100" s="97" t="s">
        <v>83</v>
      </c>
      <c r="M100" s="97" t="s">
        <v>84</v>
      </c>
      <c r="N100" s="97"/>
      <c r="O100" s="97"/>
      <c r="P100" s="97"/>
    </row>
    <row r="101">
      <c r="A101" s="92">
        <f t="shared" si="1"/>
        <v>2</v>
      </c>
      <c r="B101" s="92">
        <f t="shared" si="2"/>
        <v>1</v>
      </c>
      <c r="C101" s="93">
        <v>43129.0</v>
      </c>
      <c r="D101" s="94" t="s">
        <v>139</v>
      </c>
      <c r="E101" s="94" t="s">
        <v>30</v>
      </c>
      <c r="F101" s="94" t="s">
        <v>87</v>
      </c>
      <c r="G101" s="95" t="s">
        <v>128</v>
      </c>
      <c r="H101" s="99"/>
      <c r="I101" s="97" t="str">
        <f t="shared" si="3"/>
        <v>Бар</v>
      </c>
      <c r="J101" s="97" t="s">
        <v>87</v>
      </c>
      <c r="K101" s="97" t="s">
        <v>88</v>
      </c>
      <c r="L101" s="97" t="s">
        <v>89</v>
      </c>
      <c r="M101" s="97" t="s">
        <v>90</v>
      </c>
      <c r="N101" s="97"/>
      <c r="O101" s="97"/>
      <c r="P101" s="97"/>
    </row>
    <row r="102">
      <c r="A102" s="92">
        <f t="shared" si="1"/>
        <v>2</v>
      </c>
      <c r="B102" s="92">
        <f t="shared" si="2"/>
        <v>1</v>
      </c>
      <c r="C102" s="93">
        <v>43129.0</v>
      </c>
      <c r="D102" s="94" t="s">
        <v>101</v>
      </c>
      <c r="E102" s="94" t="s">
        <v>15</v>
      </c>
      <c r="F102" s="94" t="s">
        <v>110</v>
      </c>
      <c r="G102" s="95">
        <v>300.0</v>
      </c>
      <c r="H102" s="99"/>
      <c r="I102" s="97" t="str">
        <f t="shared" si="3"/>
        <v>Обед (работа)</v>
      </c>
      <c r="J102" s="97" t="s">
        <v>93</v>
      </c>
      <c r="K102" s="97" t="s">
        <v>94</v>
      </c>
      <c r="L102" s="97" t="s">
        <v>95</v>
      </c>
      <c r="M102" s="97" t="s">
        <v>92</v>
      </c>
      <c r="N102" s="97"/>
      <c r="O102" s="97"/>
      <c r="P102" s="97"/>
    </row>
    <row r="103">
      <c r="A103" s="92">
        <f t="shared" si="1"/>
        <v>2</v>
      </c>
      <c r="B103" s="92">
        <f t="shared" si="2"/>
        <v>1</v>
      </c>
      <c r="C103" s="93">
        <v>43129.0</v>
      </c>
      <c r="D103" s="94" t="s">
        <v>80</v>
      </c>
      <c r="E103" s="94" t="s">
        <v>24</v>
      </c>
      <c r="F103" s="94" t="s">
        <v>80</v>
      </c>
      <c r="G103" s="95">
        <v>172.0</v>
      </c>
      <c r="H103" s="99"/>
      <c r="I103" s="97" t="str">
        <f t="shared" si="3"/>
        <v>Такси</v>
      </c>
      <c r="J103" s="97" t="s">
        <v>81</v>
      </c>
      <c r="K103" s="97" t="s">
        <v>82</v>
      </c>
      <c r="L103" s="97" t="s">
        <v>83</v>
      </c>
      <c r="M103" s="97" t="s">
        <v>84</v>
      </c>
      <c r="N103" s="97"/>
      <c r="O103" s="97"/>
      <c r="P103" s="97"/>
    </row>
    <row r="104">
      <c r="A104" s="92">
        <f t="shared" si="1"/>
        <v>3</v>
      </c>
      <c r="B104" s="92">
        <f t="shared" si="2"/>
        <v>1</v>
      </c>
      <c r="C104" s="93">
        <v>43130.0</v>
      </c>
      <c r="D104" s="94" t="s">
        <v>93</v>
      </c>
      <c r="E104" s="94" t="s">
        <v>15</v>
      </c>
      <c r="F104" s="94" t="s">
        <v>93</v>
      </c>
      <c r="G104" s="95">
        <v>166.0</v>
      </c>
      <c r="H104" s="99"/>
      <c r="I104" s="97" t="str">
        <f t="shared" si="3"/>
        <v>Обед (работа)</v>
      </c>
      <c r="J104" s="97" t="s">
        <v>93</v>
      </c>
      <c r="K104" s="97" t="s">
        <v>94</v>
      </c>
      <c r="L104" s="97" t="s">
        <v>95</v>
      </c>
      <c r="M104" s="97" t="s">
        <v>92</v>
      </c>
      <c r="N104" s="97"/>
      <c r="O104" s="97"/>
      <c r="P104" s="97"/>
    </row>
    <row r="105">
      <c r="A105" s="92">
        <f t="shared" si="1"/>
        <v>3</v>
      </c>
      <c r="B105" s="92">
        <f t="shared" si="2"/>
        <v>1</v>
      </c>
      <c r="C105" s="93">
        <v>43130.0</v>
      </c>
      <c r="D105" s="94" t="s">
        <v>91</v>
      </c>
      <c r="E105" s="94" t="s">
        <v>15</v>
      </c>
      <c r="F105" s="94" t="s">
        <v>117</v>
      </c>
      <c r="G105" s="95">
        <v>179.0</v>
      </c>
      <c r="H105" s="99"/>
      <c r="I105" s="97" t="str">
        <f t="shared" si="3"/>
        <v>Обед (работа)</v>
      </c>
      <c r="J105" s="97" t="s">
        <v>93</v>
      </c>
      <c r="K105" s="97" t="s">
        <v>94</v>
      </c>
      <c r="L105" s="97" t="s">
        <v>95</v>
      </c>
      <c r="M105" s="97" t="s">
        <v>92</v>
      </c>
      <c r="N105" s="97"/>
      <c r="O105" s="97"/>
      <c r="P105" s="97"/>
    </row>
    <row r="106">
      <c r="A106" s="92">
        <f t="shared" si="1"/>
        <v>3</v>
      </c>
      <c r="B106" s="92">
        <f t="shared" si="2"/>
        <v>1</v>
      </c>
      <c r="C106" s="93">
        <v>43130.0</v>
      </c>
      <c r="D106" s="94" t="s">
        <v>80</v>
      </c>
      <c r="E106" s="94" t="s">
        <v>24</v>
      </c>
      <c r="F106" s="94" t="s">
        <v>80</v>
      </c>
      <c r="G106" s="95">
        <v>559.0</v>
      </c>
      <c r="H106" s="99"/>
      <c r="I106" s="97" t="str">
        <f t="shared" si="3"/>
        <v>Такси</v>
      </c>
      <c r="J106" s="97" t="s">
        <v>81</v>
      </c>
      <c r="K106" s="97" t="s">
        <v>82</v>
      </c>
      <c r="L106" s="97" t="s">
        <v>83</v>
      </c>
      <c r="M106" s="97" t="s">
        <v>84</v>
      </c>
      <c r="N106" s="97"/>
      <c r="O106" s="97"/>
      <c r="P106" s="97"/>
    </row>
    <row r="107">
      <c r="A107" s="92">
        <f t="shared" si="1"/>
        <v>3</v>
      </c>
      <c r="B107" s="92">
        <f t="shared" si="2"/>
        <v>1</v>
      </c>
      <c r="C107" s="93">
        <v>43130.0</v>
      </c>
      <c r="D107" s="94" t="s">
        <v>80</v>
      </c>
      <c r="E107" s="94" t="s">
        <v>24</v>
      </c>
      <c r="F107" s="94" t="s">
        <v>80</v>
      </c>
      <c r="G107" s="95">
        <v>394.0</v>
      </c>
      <c r="H107" s="99"/>
      <c r="I107" s="97" t="str">
        <f t="shared" si="3"/>
        <v>Такси</v>
      </c>
      <c r="J107" s="97" t="s">
        <v>81</v>
      </c>
      <c r="K107" s="97" t="s">
        <v>82</v>
      </c>
      <c r="L107" s="97" t="s">
        <v>83</v>
      </c>
      <c r="M107" s="97" t="s">
        <v>84</v>
      </c>
      <c r="N107" s="97"/>
      <c r="O107" s="97"/>
      <c r="P107" s="97"/>
    </row>
    <row r="108">
      <c r="A108" s="92">
        <f t="shared" si="1"/>
        <v>3</v>
      </c>
      <c r="B108" s="92">
        <f t="shared" si="2"/>
        <v>1</v>
      </c>
      <c r="C108" s="93">
        <v>43130.0</v>
      </c>
      <c r="D108" s="94" t="s">
        <v>140</v>
      </c>
      <c r="E108" s="94" t="s">
        <v>18</v>
      </c>
      <c r="F108" s="94" t="s">
        <v>116</v>
      </c>
      <c r="G108" s="95" t="s">
        <v>141</v>
      </c>
      <c r="H108" s="99"/>
      <c r="I108" s="97" t="str">
        <f t="shared" si="3"/>
        <v>Родственники</v>
      </c>
      <c r="J108" s="97" t="s">
        <v>116</v>
      </c>
      <c r="K108" s="97" t="s">
        <v>115</v>
      </c>
      <c r="L108" s="97"/>
      <c r="M108" s="97"/>
      <c r="N108" s="97"/>
      <c r="O108" s="97"/>
      <c r="P108" s="97"/>
    </row>
    <row r="109">
      <c r="A109" s="92">
        <f t="shared" si="1"/>
        <v>3</v>
      </c>
      <c r="B109" s="92">
        <f t="shared" si="2"/>
        <v>1</v>
      </c>
      <c r="C109" s="93">
        <v>43130.0</v>
      </c>
      <c r="D109" s="94" t="s">
        <v>142</v>
      </c>
      <c r="E109" s="94" t="s">
        <v>18</v>
      </c>
      <c r="F109" s="94" t="s">
        <v>116</v>
      </c>
      <c r="G109" s="95" t="s">
        <v>143</v>
      </c>
      <c r="H109" s="99"/>
      <c r="I109" s="97" t="str">
        <f t="shared" si="3"/>
        <v>Родственники</v>
      </c>
      <c r="J109" s="97" t="s">
        <v>116</v>
      </c>
      <c r="K109" s="97" t="s">
        <v>115</v>
      </c>
      <c r="L109" s="97"/>
      <c r="M109" s="97"/>
      <c r="N109" s="97"/>
      <c r="O109" s="97"/>
      <c r="P109" s="97"/>
    </row>
    <row r="110">
      <c r="A110" s="92">
        <f t="shared" si="1"/>
        <v>4</v>
      </c>
      <c r="B110" s="92">
        <f t="shared" si="2"/>
        <v>1</v>
      </c>
      <c r="C110" s="93">
        <v>43131.0</v>
      </c>
      <c r="D110" s="94" t="s">
        <v>91</v>
      </c>
      <c r="E110" s="94" t="s">
        <v>15</v>
      </c>
      <c r="F110" s="94" t="s">
        <v>117</v>
      </c>
      <c r="G110" s="95">
        <v>419.0</v>
      </c>
      <c r="H110" s="99"/>
      <c r="I110" s="97" t="str">
        <f t="shared" si="3"/>
        <v>Обед (работа)</v>
      </c>
      <c r="J110" s="97" t="s">
        <v>93</v>
      </c>
      <c r="K110" s="97" t="s">
        <v>94</v>
      </c>
      <c r="L110" s="97" t="s">
        <v>95</v>
      </c>
      <c r="M110" s="97" t="s">
        <v>92</v>
      </c>
      <c r="N110" s="97"/>
      <c r="O110" s="97"/>
      <c r="P110" s="97"/>
    </row>
    <row r="111">
      <c r="A111" s="92">
        <f t="shared" si="1"/>
        <v>4</v>
      </c>
      <c r="B111" s="92">
        <f t="shared" si="2"/>
        <v>1</v>
      </c>
      <c r="C111" s="93">
        <v>43131.0</v>
      </c>
      <c r="D111" s="94" t="s">
        <v>93</v>
      </c>
      <c r="E111" s="94" t="s">
        <v>15</v>
      </c>
      <c r="F111" s="94" t="s">
        <v>93</v>
      </c>
      <c r="G111" s="95">
        <v>75.0</v>
      </c>
      <c r="H111" s="99"/>
      <c r="I111" s="97" t="str">
        <f t="shared" si="3"/>
        <v>Обед (работа)</v>
      </c>
      <c r="J111" s="97" t="s">
        <v>93</v>
      </c>
      <c r="K111" s="97" t="s">
        <v>94</v>
      </c>
      <c r="L111" s="97" t="s">
        <v>95</v>
      </c>
      <c r="M111" s="97" t="s">
        <v>92</v>
      </c>
      <c r="N111" s="97"/>
      <c r="O111" s="97"/>
      <c r="P111" s="97"/>
    </row>
    <row r="112">
      <c r="A112" s="92">
        <f t="shared" si="1"/>
        <v>5</v>
      </c>
      <c r="B112" s="92">
        <f t="shared" si="2"/>
        <v>2</v>
      </c>
      <c r="C112" s="93">
        <v>43132.0</v>
      </c>
      <c r="D112" s="94" t="s">
        <v>91</v>
      </c>
      <c r="E112" s="94" t="s">
        <v>15</v>
      </c>
      <c r="F112" s="94" t="s">
        <v>117</v>
      </c>
      <c r="G112" s="95">
        <v>330.0</v>
      </c>
      <c r="H112" s="99"/>
      <c r="I112" s="97" t="str">
        <f t="shared" si="3"/>
        <v>Обед (работа)</v>
      </c>
      <c r="J112" s="97" t="s">
        <v>93</v>
      </c>
      <c r="K112" s="97" t="s">
        <v>94</v>
      </c>
      <c r="L112" s="97" t="s">
        <v>95</v>
      </c>
      <c r="M112" s="97" t="s">
        <v>92</v>
      </c>
      <c r="N112" s="97"/>
      <c r="O112" s="97"/>
      <c r="P112" s="97"/>
    </row>
    <row r="113">
      <c r="A113" s="92">
        <f t="shared" si="1"/>
        <v>6</v>
      </c>
      <c r="B113" s="92">
        <f t="shared" si="2"/>
        <v>2</v>
      </c>
      <c r="C113" s="93">
        <v>43133.0</v>
      </c>
      <c r="D113" s="94" t="s">
        <v>91</v>
      </c>
      <c r="E113" s="94" t="s">
        <v>15</v>
      </c>
      <c r="F113" s="94" t="s">
        <v>117</v>
      </c>
      <c r="G113" s="95">
        <v>250.0</v>
      </c>
      <c r="H113" s="99"/>
      <c r="I113" s="97" t="str">
        <f t="shared" si="3"/>
        <v>Обед (работа)</v>
      </c>
      <c r="J113" s="97" t="s">
        <v>93</v>
      </c>
      <c r="K113" s="97" t="s">
        <v>94</v>
      </c>
      <c r="L113" s="97" t="s">
        <v>95</v>
      </c>
      <c r="M113" s="97" t="s">
        <v>92</v>
      </c>
      <c r="N113" s="97"/>
      <c r="O113" s="97"/>
      <c r="P113" s="97"/>
    </row>
    <row r="114">
      <c r="A114" s="92">
        <f t="shared" si="1"/>
        <v>6</v>
      </c>
      <c r="B114" s="92">
        <f t="shared" si="2"/>
        <v>2</v>
      </c>
      <c r="C114" s="93">
        <v>43133.0</v>
      </c>
      <c r="D114" s="94" t="s">
        <v>80</v>
      </c>
      <c r="E114" s="94" t="s">
        <v>24</v>
      </c>
      <c r="F114" s="94" t="s">
        <v>80</v>
      </c>
      <c r="G114" s="95">
        <v>115.0</v>
      </c>
      <c r="H114" s="99"/>
      <c r="I114" s="97" t="str">
        <f t="shared" si="3"/>
        <v>Такси</v>
      </c>
      <c r="J114" s="97" t="s">
        <v>81</v>
      </c>
      <c r="K114" s="97" t="s">
        <v>82</v>
      </c>
      <c r="L114" s="97" t="s">
        <v>83</v>
      </c>
      <c r="M114" s="97" t="s">
        <v>84</v>
      </c>
      <c r="N114" s="97"/>
      <c r="O114" s="97"/>
      <c r="P114" s="97"/>
    </row>
    <row r="115">
      <c r="A115" s="92">
        <f t="shared" si="1"/>
        <v>6</v>
      </c>
      <c r="B115" s="92">
        <f t="shared" si="2"/>
        <v>2</v>
      </c>
      <c r="C115" s="93">
        <v>43133.0</v>
      </c>
      <c r="D115" s="94" t="s">
        <v>102</v>
      </c>
      <c r="E115" s="94" t="s">
        <v>21</v>
      </c>
      <c r="F115" s="94" t="s">
        <v>102</v>
      </c>
      <c r="G115" s="95">
        <v>418.0</v>
      </c>
      <c r="H115" s="99"/>
      <c r="I115" s="97" t="str">
        <f t="shared" si="3"/>
        <v>Вино</v>
      </c>
      <c r="J115" s="97" t="s">
        <v>97</v>
      </c>
      <c r="K115" s="97" t="s">
        <v>98</v>
      </c>
      <c r="L115" s="97" t="s">
        <v>99</v>
      </c>
      <c r="M115" s="97" t="s">
        <v>100</v>
      </c>
      <c r="N115" s="97"/>
      <c r="O115" s="97"/>
      <c r="P115" s="97"/>
    </row>
    <row r="116">
      <c r="A116" s="92">
        <f t="shared" si="1"/>
        <v>6</v>
      </c>
      <c r="B116" s="92">
        <f t="shared" si="2"/>
        <v>2</v>
      </c>
      <c r="C116" s="93">
        <v>43133.0</v>
      </c>
      <c r="D116" s="94" t="s">
        <v>144</v>
      </c>
      <c r="E116" s="94" t="s">
        <v>21</v>
      </c>
      <c r="F116" s="94" t="s">
        <v>100</v>
      </c>
      <c r="G116" s="95" t="s">
        <v>145</v>
      </c>
      <c r="H116" s="99"/>
      <c r="I116" s="97" t="str">
        <f t="shared" si="3"/>
        <v>Вино</v>
      </c>
      <c r="J116" s="97" t="s">
        <v>97</v>
      </c>
      <c r="K116" s="97" t="s">
        <v>98</v>
      </c>
      <c r="L116" s="97" t="s">
        <v>99</v>
      </c>
      <c r="M116" s="97" t="s">
        <v>100</v>
      </c>
      <c r="N116" s="97"/>
      <c r="O116" s="97"/>
      <c r="P116" s="97"/>
    </row>
    <row r="117">
      <c r="A117" s="92">
        <f t="shared" si="1"/>
        <v>6</v>
      </c>
      <c r="B117" s="92">
        <f t="shared" si="2"/>
        <v>2</v>
      </c>
      <c r="C117" s="93">
        <v>43133.0</v>
      </c>
      <c r="D117" s="94" t="s">
        <v>146</v>
      </c>
      <c r="E117" s="94" t="s">
        <v>30</v>
      </c>
      <c r="F117" s="94" t="s">
        <v>89</v>
      </c>
      <c r="G117" s="95" t="s">
        <v>147</v>
      </c>
      <c r="H117" s="99"/>
      <c r="I117" s="97" t="str">
        <f t="shared" si="3"/>
        <v>Бар</v>
      </c>
      <c r="J117" s="97" t="s">
        <v>87</v>
      </c>
      <c r="K117" s="97" t="s">
        <v>88</v>
      </c>
      <c r="L117" s="97" t="s">
        <v>89</v>
      </c>
      <c r="M117" s="97" t="s">
        <v>90</v>
      </c>
      <c r="N117" s="97"/>
      <c r="O117" s="97"/>
      <c r="P117" s="97"/>
    </row>
    <row r="118">
      <c r="A118" s="92">
        <f t="shared" si="1"/>
        <v>7</v>
      </c>
      <c r="B118" s="92">
        <f t="shared" si="2"/>
        <v>2</v>
      </c>
      <c r="C118" s="93">
        <v>43134.0</v>
      </c>
      <c r="D118" s="94" t="s">
        <v>148</v>
      </c>
      <c r="E118" s="94" t="s">
        <v>18</v>
      </c>
      <c r="F118" s="94" t="s">
        <v>116</v>
      </c>
      <c r="G118" s="95">
        <v>1300.0</v>
      </c>
      <c r="H118" s="99"/>
      <c r="I118" s="97" t="str">
        <f t="shared" si="3"/>
        <v>Родственники</v>
      </c>
      <c r="J118" s="97" t="s">
        <v>116</v>
      </c>
      <c r="K118" s="97" t="s">
        <v>115</v>
      </c>
      <c r="L118" s="97"/>
      <c r="M118" s="97"/>
      <c r="N118" s="97"/>
      <c r="O118" s="97"/>
      <c r="P118" s="97"/>
    </row>
    <row r="119">
      <c r="A119" s="92">
        <f t="shared" si="1"/>
        <v>7</v>
      </c>
      <c r="B119" s="92">
        <f t="shared" si="2"/>
        <v>2</v>
      </c>
      <c r="C119" s="93">
        <v>43134.0</v>
      </c>
      <c r="D119" s="94" t="s">
        <v>80</v>
      </c>
      <c r="E119" s="94" t="s">
        <v>24</v>
      </c>
      <c r="F119" s="94" t="s">
        <v>80</v>
      </c>
      <c r="G119" s="95">
        <v>238.0</v>
      </c>
      <c r="H119" s="99"/>
      <c r="I119" s="97" t="str">
        <f t="shared" si="3"/>
        <v>Такси</v>
      </c>
      <c r="J119" s="97" t="s">
        <v>81</v>
      </c>
      <c r="K119" s="97" t="s">
        <v>82</v>
      </c>
      <c r="L119" s="97" t="s">
        <v>83</v>
      </c>
      <c r="M119" s="97" t="s">
        <v>84</v>
      </c>
      <c r="N119" s="97"/>
      <c r="O119" s="97"/>
      <c r="P119" s="97"/>
    </row>
    <row r="120">
      <c r="A120" s="92">
        <f t="shared" si="1"/>
        <v>7</v>
      </c>
      <c r="B120" s="92">
        <f t="shared" si="2"/>
        <v>2</v>
      </c>
      <c r="C120" s="93">
        <v>43134.0</v>
      </c>
      <c r="D120" s="94" t="s">
        <v>102</v>
      </c>
      <c r="E120" s="94" t="s">
        <v>21</v>
      </c>
      <c r="F120" s="94" t="s">
        <v>102</v>
      </c>
      <c r="G120" s="95" t="s">
        <v>149</v>
      </c>
      <c r="H120" s="99"/>
      <c r="I120" s="97" t="str">
        <f t="shared" si="3"/>
        <v>Вино</v>
      </c>
      <c r="J120" s="97" t="s">
        <v>97</v>
      </c>
      <c r="K120" s="97" t="s">
        <v>98</v>
      </c>
      <c r="L120" s="97" t="s">
        <v>99</v>
      </c>
      <c r="M120" s="97" t="s">
        <v>100</v>
      </c>
      <c r="N120" s="97"/>
      <c r="O120" s="97"/>
      <c r="P120" s="97"/>
    </row>
    <row r="121">
      <c r="A121" s="92">
        <f t="shared" si="1"/>
        <v>1</v>
      </c>
      <c r="B121" s="92">
        <f t="shared" si="2"/>
        <v>2</v>
      </c>
      <c r="C121" s="93">
        <v>43135.0</v>
      </c>
      <c r="D121" s="94" t="s">
        <v>80</v>
      </c>
      <c r="E121" s="94" t="s">
        <v>24</v>
      </c>
      <c r="F121" s="94" t="s">
        <v>80</v>
      </c>
      <c r="G121" s="95">
        <v>300.0</v>
      </c>
      <c r="H121" s="99"/>
      <c r="I121" s="97" t="str">
        <f t="shared" si="3"/>
        <v>Такси</v>
      </c>
      <c r="J121" s="97" t="s">
        <v>81</v>
      </c>
      <c r="K121" s="97" t="s">
        <v>82</v>
      </c>
      <c r="L121" s="97" t="s">
        <v>83</v>
      </c>
      <c r="M121" s="97" t="s">
        <v>84</v>
      </c>
      <c r="N121" s="97"/>
      <c r="O121" s="97"/>
      <c r="P121" s="97"/>
    </row>
    <row r="122">
      <c r="A122" s="92">
        <f t="shared" si="1"/>
        <v>2</v>
      </c>
      <c r="B122" s="92">
        <f t="shared" si="2"/>
        <v>2</v>
      </c>
      <c r="C122" s="93">
        <v>43136.0</v>
      </c>
      <c r="D122" s="101" t="s">
        <v>124</v>
      </c>
      <c r="E122" s="100"/>
      <c r="F122" s="100"/>
      <c r="G122" s="95">
        <v>0.0</v>
      </c>
      <c r="H122" s="99"/>
      <c r="I122" s="97" t="str">
        <f t="shared" si="3"/>
        <v/>
      </c>
      <c r="J122" s="97"/>
      <c r="K122" s="97"/>
      <c r="L122" s="97"/>
      <c r="M122" s="97"/>
      <c r="N122" s="97"/>
      <c r="O122" s="97"/>
      <c r="P122" s="97"/>
    </row>
    <row r="123">
      <c r="A123" s="92">
        <f t="shared" si="1"/>
        <v>3</v>
      </c>
      <c r="B123" s="92">
        <f t="shared" si="2"/>
        <v>2</v>
      </c>
      <c r="C123" s="93">
        <v>43137.0</v>
      </c>
      <c r="D123" s="101" t="s">
        <v>124</v>
      </c>
      <c r="E123" s="100"/>
      <c r="F123" s="100"/>
      <c r="G123" s="95">
        <v>0.0</v>
      </c>
      <c r="H123" s="99"/>
      <c r="I123" s="97" t="str">
        <f t="shared" si="3"/>
        <v/>
      </c>
      <c r="J123" s="97"/>
      <c r="K123" s="97"/>
      <c r="L123" s="97"/>
      <c r="M123" s="97"/>
      <c r="N123" s="97"/>
      <c r="O123" s="97"/>
      <c r="P123" s="97"/>
    </row>
    <row r="124">
      <c r="A124" s="92">
        <f t="shared" si="1"/>
        <v>4</v>
      </c>
      <c r="B124" s="92">
        <f t="shared" si="2"/>
        <v>2</v>
      </c>
      <c r="C124" s="93">
        <v>43138.0</v>
      </c>
      <c r="D124" s="94" t="s">
        <v>150</v>
      </c>
      <c r="E124" s="94" t="s">
        <v>37</v>
      </c>
      <c r="F124" s="100"/>
      <c r="G124" s="95" t="s">
        <v>151</v>
      </c>
      <c r="H124" s="99"/>
      <c r="I124" s="97" t="str">
        <f t="shared" si="3"/>
        <v/>
      </c>
      <c r="J124" s="97"/>
      <c r="K124" s="97"/>
      <c r="L124" s="97"/>
      <c r="M124" s="97"/>
      <c r="N124" s="97"/>
      <c r="O124" s="97"/>
      <c r="P124" s="97"/>
    </row>
    <row r="125">
      <c r="A125" s="92">
        <f t="shared" si="1"/>
        <v>4</v>
      </c>
      <c r="B125" s="92">
        <f t="shared" si="2"/>
        <v>2</v>
      </c>
      <c r="C125" s="93">
        <v>43138.0</v>
      </c>
      <c r="D125" s="94" t="s">
        <v>152</v>
      </c>
      <c r="E125" s="94" t="s">
        <v>37</v>
      </c>
      <c r="F125" s="100"/>
      <c r="G125" s="95" t="s">
        <v>153</v>
      </c>
      <c r="H125" s="99"/>
      <c r="I125" s="97" t="str">
        <f t="shared" si="3"/>
        <v/>
      </c>
      <c r="J125" s="97"/>
      <c r="K125" s="97"/>
      <c r="L125" s="97"/>
      <c r="M125" s="97"/>
      <c r="N125" s="97"/>
      <c r="O125" s="97"/>
      <c r="P125" s="97"/>
    </row>
    <row r="126">
      <c r="A126" s="92">
        <f t="shared" si="1"/>
        <v>5</v>
      </c>
      <c r="B126" s="92">
        <f t="shared" si="2"/>
        <v>2</v>
      </c>
      <c r="C126" s="93">
        <v>43139.0</v>
      </c>
      <c r="D126" s="101" t="s">
        <v>124</v>
      </c>
      <c r="E126" s="100"/>
      <c r="F126" s="100"/>
      <c r="G126" s="95">
        <v>0.0</v>
      </c>
      <c r="H126" s="99"/>
      <c r="I126" s="97" t="str">
        <f t="shared" si="3"/>
        <v/>
      </c>
      <c r="J126" s="97"/>
      <c r="K126" s="97"/>
      <c r="L126" s="97"/>
      <c r="M126" s="97"/>
      <c r="N126" s="97"/>
      <c r="O126" s="97"/>
      <c r="P126" s="97"/>
    </row>
    <row r="127">
      <c r="A127" s="92">
        <f t="shared" si="1"/>
        <v>6</v>
      </c>
      <c r="B127" s="92">
        <f t="shared" si="2"/>
        <v>2</v>
      </c>
      <c r="C127" s="93">
        <v>43140.0</v>
      </c>
      <c r="D127" s="94" t="s">
        <v>118</v>
      </c>
      <c r="E127" s="94" t="s">
        <v>48</v>
      </c>
      <c r="F127" s="100"/>
      <c r="G127" s="95">
        <v>169.0</v>
      </c>
      <c r="H127" s="99"/>
      <c r="I127" s="97" t="str">
        <f t="shared" si="3"/>
        <v/>
      </c>
      <c r="J127" s="97"/>
      <c r="K127" s="97"/>
      <c r="L127" s="97"/>
      <c r="M127" s="97"/>
      <c r="N127" s="97"/>
      <c r="O127" s="97"/>
      <c r="P127" s="97"/>
    </row>
    <row r="128">
      <c r="A128" s="92">
        <f t="shared" si="1"/>
        <v>7</v>
      </c>
      <c r="B128" s="92">
        <f t="shared" si="2"/>
        <v>2</v>
      </c>
      <c r="C128" s="93">
        <v>43141.0</v>
      </c>
      <c r="D128" s="94" t="s">
        <v>43</v>
      </c>
      <c r="E128" s="94" t="s">
        <v>43</v>
      </c>
      <c r="F128" s="100"/>
      <c r="G128" s="95">
        <v>100.0</v>
      </c>
      <c r="H128" s="99"/>
      <c r="I128" s="97" t="str">
        <f t="shared" si="3"/>
        <v/>
      </c>
      <c r="J128" s="97"/>
      <c r="K128" s="97"/>
      <c r="L128" s="97"/>
      <c r="M128" s="97"/>
      <c r="N128" s="97"/>
      <c r="O128" s="97"/>
      <c r="P128" s="97"/>
    </row>
    <row r="129">
      <c r="A129" s="92">
        <f t="shared" si="1"/>
        <v>7</v>
      </c>
      <c r="B129" s="92">
        <f t="shared" si="2"/>
        <v>2</v>
      </c>
      <c r="C129" s="93">
        <v>43141.0</v>
      </c>
      <c r="D129" s="94" t="s">
        <v>154</v>
      </c>
      <c r="E129" s="94" t="s">
        <v>37</v>
      </c>
      <c r="F129" s="100"/>
      <c r="G129" s="95">
        <v>984.0</v>
      </c>
      <c r="H129" s="99"/>
      <c r="I129" s="97" t="str">
        <f t="shared" si="3"/>
        <v/>
      </c>
      <c r="J129" s="97"/>
      <c r="K129" s="97"/>
      <c r="L129" s="97"/>
      <c r="M129" s="97"/>
      <c r="N129" s="97"/>
      <c r="O129" s="97"/>
      <c r="P129" s="97"/>
    </row>
    <row r="130">
      <c r="A130" s="92">
        <f t="shared" si="1"/>
        <v>7</v>
      </c>
      <c r="B130" s="92">
        <f t="shared" si="2"/>
        <v>2</v>
      </c>
      <c r="C130" s="93">
        <v>43141.0</v>
      </c>
      <c r="D130" s="94" t="s">
        <v>82</v>
      </c>
      <c r="E130" s="94" t="s">
        <v>24</v>
      </c>
      <c r="F130" s="94" t="s">
        <v>82</v>
      </c>
      <c r="G130" s="95">
        <v>100.0</v>
      </c>
      <c r="H130" s="99"/>
      <c r="I130" s="97" t="str">
        <f t="shared" si="3"/>
        <v>Такси</v>
      </c>
      <c r="J130" s="97" t="s">
        <v>81</v>
      </c>
      <c r="K130" s="97" t="s">
        <v>82</v>
      </c>
      <c r="L130" s="97" t="s">
        <v>83</v>
      </c>
      <c r="M130" s="97" t="s">
        <v>84</v>
      </c>
      <c r="N130" s="97"/>
      <c r="O130" s="97"/>
      <c r="P130" s="97"/>
    </row>
    <row r="131">
      <c r="A131" s="92">
        <f t="shared" si="1"/>
        <v>7</v>
      </c>
      <c r="B131" s="92">
        <f t="shared" si="2"/>
        <v>2</v>
      </c>
      <c r="C131" s="93">
        <v>43141.0</v>
      </c>
      <c r="D131" s="94" t="s">
        <v>91</v>
      </c>
      <c r="E131" s="94" t="s">
        <v>15</v>
      </c>
      <c r="F131" s="94" t="s">
        <v>92</v>
      </c>
      <c r="G131" s="95">
        <v>190.0</v>
      </c>
      <c r="H131" s="99"/>
      <c r="I131" s="97" t="str">
        <f t="shared" si="3"/>
        <v>Обед (работа)</v>
      </c>
      <c r="J131" s="97" t="s">
        <v>93</v>
      </c>
      <c r="K131" s="97" t="s">
        <v>94</v>
      </c>
      <c r="L131" s="97" t="s">
        <v>95</v>
      </c>
      <c r="M131" s="97" t="s">
        <v>92</v>
      </c>
      <c r="N131" s="97"/>
      <c r="O131" s="97"/>
      <c r="P131" s="97"/>
    </row>
    <row r="132">
      <c r="A132" s="92">
        <f t="shared" si="1"/>
        <v>7</v>
      </c>
      <c r="B132" s="92">
        <f t="shared" si="2"/>
        <v>2</v>
      </c>
      <c r="C132" s="93">
        <v>43141.0</v>
      </c>
      <c r="D132" s="94" t="s">
        <v>93</v>
      </c>
      <c r="E132" s="94" t="s">
        <v>15</v>
      </c>
      <c r="F132" s="94" t="s">
        <v>93</v>
      </c>
      <c r="G132" s="95">
        <v>67.0</v>
      </c>
      <c r="H132" s="99"/>
      <c r="I132" s="97" t="str">
        <f t="shared" si="3"/>
        <v>Обед (работа)</v>
      </c>
      <c r="J132" s="97" t="s">
        <v>93</v>
      </c>
      <c r="K132" s="97" t="s">
        <v>94</v>
      </c>
      <c r="L132" s="97" t="s">
        <v>95</v>
      </c>
      <c r="M132" s="97" t="s">
        <v>92</v>
      </c>
      <c r="N132" s="97"/>
      <c r="O132" s="97"/>
      <c r="P132" s="97"/>
    </row>
    <row r="133">
      <c r="A133" s="92">
        <f t="shared" si="1"/>
        <v>1</v>
      </c>
      <c r="B133" s="92">
        <f t="shared" si="2"/>
        <v>2</v>
      </c>
      <c r="C133" s="93">
        <v>43142.0</v>
      </c>
      <c r="D133" s="101" t="s">
        <v>124</v>
      </c>
      <c r="E133" s="100"/>
      <c r="F133" s="100"/>
      <c r="G133" s="95">
        <v>0.0</v>
      </c>
      <c r="H133" s="99"/>
      <c r="I133" s="97" t="str">
        <f t="shared" si="3"/>
        <v/>
      </c>
      <c r="J133" s="97"/>
      <c r="K133" s="97"/>
      <c r="L133" s="97"/>
      <c r="M133" s="97"/>
      <c r="N133" s="97"/>
      <c r="O133" s="97"/>
      <c r="P133" s="97"/>
    </row>
    <row r="134">
      <c r="A134" s="92">
        <f t="shared" si="1"/>
        <v>2</v>
      </c>
      <c r="B134" s="92">
        <f t="shared" si="2"/>
        <v>2</v>
      </c>
      <c r="C134" s="93">
        <v>43143.0</v>
      </c>
      <c r="D134" s="101" t="s">
        <v>124</v>
      </c>
      <c r="E134" s="100"/>
      <c r="F134" s="100"/>
      <c r="G134" s="95">
        <v>0.0</v>
      </c>
      <c r="H134" s="99"/>
      <c r="I134" s="97" t="str">
        <f t="shared" si="3"/>
        <v/>
      </c>
      <c r="J134" s="97"/>
      <c r="K134" s="97"/>
      <c r="L134" s="97"/>
      <c r="M134" s="97"/>
      <c r="N134" s="97"/>
      <c r="O134" s="97"/>
      <c r="P134" s="97"/>
    </row>
    <row r="135">
      <c r="A135" s="92">
        <f t="shared" si="1"/>
        <v>3</v>
      </c>
      <c r="B135" s="92">
        <f t="shared" si="2"/>
        <v>2</v>
      </c>
      <c r="C135" s="93">
        <v>43144.0</v>
      </c>
      <c r="D135" s="94" t="s">
        <v>80</v>
      </c>
      <c r="E135" s="94" t="s">
        <v>24</v>
      </c>
      <c r="F135" s="94" t="s">
        <v>80</v>
      </c>
      <c r="G135" s="95">
        <v>160.0</v>
      </c>
      <c r="H135" s="99"/>
      <c r="I135" s="97" t="str">
        <f t="shared" si="3"/>
        <v>Такси</v>
      </c>
      <c r="J135" s="97" t="s">
        <v>81</v>
      </c>
      <c r="K135" s="97" t="s">
        <v>82</v>
      </c>
      <c r="L135" s="97" t="s">
        <v>83</v>
      </c>
      <c r="M135" s="97" t="s">
        <v>84</v>
      </c>
      <c r="N135" s="97"/>
      <c r="O135" s="97"/>
      <c r="P135" s="97"/>
    </row>
    <row r="136">
      <c r="A136" s="92">
        <f t="shared" si="1"/>
        <v>3</v>
      </c>
      <c r="B136" s="92">
        <f t="shared" si="2"/>
        <v>2</v>
      </c>
      <c r="C136" s="93">
        <v>43144.0</v>
      </c>
      <c r="D136" s="94" t="s">
        <v>80</v>
      </c>
      <c r="E136" s="94" t="s">
        <v>24</v>
      </c>
      <c r="F136" s="94" t="s">
        <v>80</v>
      </c>
      <c r="G136" s="95">
        <v>163.0</v>
      </c>
      <c r="H136" s="99"/>
      <c r="I136" s="97" t="str">
        <f t="shared" si="3"/>
        <v>Такси</v>
      </c>
      <c r="J136" s="97" t="s">
        <v>81</v>
      </c>
      <c r="K136" s="97" t="s">
        <v>82</v>
      </c>
      <c r="L136" s="97" t="s">
        <v>83</v>
      </c>
      <c r="M136" s="97" t="s">
        <v>84</v>
      </c>
      <c r="N136" s="97"/>
      <c r="O136" s="97"/>
      <c r="P136" s="97"/>
    </row>
    <row r="137">
      <c r="A137" s="92">
        <f t="shared" si="1"/>
        <v>3</v>
      </c>
      <c r="B137" s="92">
        <f t="shared" si="2"/>
        <v>2</v>
      </c>
      <c r="C137" s="93">
        <v>43144.0</v>
      </c>
      <c r="D137" s="94" t="s">
        <v>155</v>
      </c>
      <c r="E137" s="94" t="s">
        <v>15</v>
      </c>
      <c r="F137" s="94" t="s">
        <v>95</v>
      </c>
      <c r="G137" s="95">
        <v>150.0</v>
      </c>
      <c r="H137" s="99"/>
      <c r="I137" s="97" t="str">
        <f t="shared" si="3"/>
        <v>Обед (работа)</v>
      </c>
      <c r="J137" s="97" t="s">
        <v>93</v>
      </c>
      <c r="K137" s="97" t="s">
        <v>94</v>
      </c>
      <c r="L137" s="97" t="s">
        <v>95</v>
      </c>
      <c r="M137" s="97" t="s">
        <v>92</v>
      </c>
      <c r="N137" s="97"/>
      <c r="O137" s="97"/>
      <c r="P137" s="97"/>
    </row>
    <row r="138">
      <c r="A138" s="92">
        <f t="shared" si="1"/>
        <v>3</v>
      </c>
      <c r="B138" s="92">
        <f t="shared" si="2"/>
        <v>2</v>
      </c>
      <c r="C138" s="93">
        <v>43144.0</v>
      </c>
      <c r="D138" s="94" t="s">
        <v>80</v>
      </c>
      <c r="E138" s="94" t="s">
        <v>24</v>
      </c>
      <c r="F138" s="94" t="s">
        <v>80</v>
      </c>
      <c r="G138" s="95" t="s">
        <v>156</v>
      </c>
      <c r="H138" s="99"/>
      <c r="I138" s="97" t="str">
        <f t="shared" si="3"/>
        <v>Такси</v>
      </c>
      <c r="J138" s="97" t="s">
        <v>81</v>
      </c>
      <c r="K138" s="97" t="s">
        <v>82</v>
      </c>
      <c r="L138" s="97" t="s">
        <v>83</v>
      </c>
      <c r="M138" s="97" t="s">
        <v>84</v>
      </c>
      <c r="N138" s="97"/>
      <c r="O138" s="97"/>
      <c r="P138" s="97"/>
    </row>
    <row r="139">
      <c r="A139" s="92">
        <f t="shared" si="1"/>
        <v>4</v>
      </c>
      <c r="B139" s="92">
        <f t="shared" si="2"/>
        <v>2</v>
      </c>
      <c r="C139" s="93">
        <v>43145.0</v>
      </c>
      <c r="D139" s="94" t="s">
        <v>138</v>
      </c>
      <c r="E139" s="94" t="s">
        <v>24</v>
      </c>
      <c r="F139" s="94" t="s">
        <v>82</v>
      </c>
      <c r="G139" s="95">
        <v>100.0</v>
      </c>
      <c r="H139" s="99"/>
      <c r="I139" s="97" t="str">
        <f t="shared" si="3"/>
        <v>Такси</v>
      </c>
      <c r="J139" s="97" t="s">
        <v>81</v>
      </c>
      <c r="K139" s="97" t="s">
        <v>82</v>
      </c>
      <c r="L139" s="97" t="s">
        <v>83</v>
      </c>
      <c r="M139" s="97" t="s">
        <v>84</v>
      </c>
      <c r="N139" s="97"/>
      <c r="O139" s="97"/>
      <c r="P139" s="97"/>
    </row>
    <row r="140">
      <c r="A140" s="92">
        <f t="shared" si="1"/>
        <v>4</v>
      </c>
      <c r="B140" s="92">
        <f t="shared" si="2"/>
        <v>2</v>
      </c>
      <c r="C140" s="93">
        <v>43145.0</v>
      </c>
      <c r="D140" s="94" t="s">
        <v>93</v>
      </c>
      <c r="E140" s="94" t="s">
        <v>15</v>
      </c>
      <c r="F140" s="94" t="s">
        <v>95</v>
      </c>
      <c r="G140" s="95">
        <v>75.0</v>
      </c>
      <c r="H140" s="99"/>
      <c r="I140" s="97" t="str">
        <f t="shared" si="3"/>
        <v>Обед (работа)</v>
      </c>
      <c r="J140" s="97" t="s">
        <v>93</v>
      </c>
      <c r="K140" s="97" t="s">
        <v>94</v>
      </c>
      <c r="L140" s="97" t="s">
        <v>95</v>
      </c>
      <c r="M140" s="97" t="s">
        <v>92</v>
      </c>
      <c r="N140" s="97"/>
      <c r="O140" s="97"/>
      <c r="P140" s="97"/>
    </row>
    <row r="141">
      <c r="A141" s="92">
        <f t="shared" si="1"/>
        <v>4</v>
      </c>
      <c r="B141" s="92">
        <f t="shared" si="2"/>
        <v>2</v>
      </c>
      <c r="C141" s="93">
        <v>43145.0</v>
      </c>
      <c r="D141" s="94" t="s">
        <v>98</v>
      </c>
      <c r="E141" s="94" t="s">
        <v>21</v>
      </c>
      <c r="F141" s="94" t="s">
        <v>98</v>
      </c>
      <c r="G141" s="95" t="s">
        <v>157</v>
      </c>
      <c r="H141" s="99"/>
      <c r="I141" s="97" t="str">
        <f t="shared" si="3"/>
        <v>Вино</v>
      </c>
      <c r="J141" s="97" t="s">
        <v>97</v>
      </c>
      <c r="K141" s="97" t="s">
        <v>98</v>
      </c>
      <c r="L141" s="97" t="s">
        <v>99</v>
      </c>
      <c r="M141" s="97" t="s">
        <v>100</v>
      </c>
      <c r="N141" s="97"/>
      <c r="O141" s="97"/>
      <c r="P141" s="97"/>
    </row>
    <row r="142">
      <c r="A142" s="92">
        <f t="shared" si="1"/>
        <v>4</v>
      </c>
      <c r="B142" s="92">
        <f t="shared" si="2"/>
        <v>2</v>
      </c>
      <c r="C142" s="93">
        <v>43145.0</v>
      </c>
      <c r="D142" s="94" t="s">
        <v>158</v>
      </c>
      <c r="E142" s="94" t="s">
        <v>30</v>
      </c>
      <c r="F142" s="94" t="s">
        <v>88</v>
      </c>
      <c r="G142" s="95">
        <v>660.0</v>
      </c>
      <c r="H142" s="99"/>
      <c r="I142" s="97" t="str">
        <f t="shared" si="3"/>
        <v>Бар</v>
      </c>
      <c r="J142" s="97" t="s">
        <v>87</v>
      </c>
      <c r="K142" s="97" t="s">
        <v>88</v>
      </c>
      <c r="L142" s="97" t="s">
        <v>89</v>
      </c>
      <c r="M142" s="97" t="s">
        <v>90</v>
      </c>
      <c r="N142" s="97"/>
      <c r="O142" s="97"/>
      <c r="P142" s="97"/>
    </row>
    <row r="143">
      <c r="A143" s="92">
        <f t="shared" si="1"/>
        <v>4</v>
      </c>
      <c r="B143" s="92">
        <f t="shared" si="2"/>
        <v>2</v>
      </c>
      <c r="C143" s="93">
        <v>43145.0</v>
      </c>
      <c r="D143" s="94" t="s">
        <v>80</v>
      </c>
      <c r="E143" s="94" t="s">
        <v>24</v>
      </c>
      <c r="F143" s="94" t="s">
        <v>80</v>
      </c>
      <c r="G143" s="95">
        <v>285.0</v>
      </c>
      <c r="H143" s="99"/>
      <c r="I143" s="97" t="str">
        <f t="shared" si="3"/>
        <v>Такси</v>
      </c>
      <c r="J143" s="97" t="s">
        <v>81</v>
      </c>
      <c r="K143" s="97" t="s">
        <v>82</v>
      </c>
      <c r="L143" s="97" t="s">
        <v>83</v>
      </c>
      <c r="M143" s="97" t="s">
        <v>84</v>
      </c>
      <c r="N143" s="97"/>
      <c r="O143" s="97"/>
      <c r="P143" s="97"/>
    </row>
    <row r="144">
      <c r="A144" s="92">
        <f t="shared" si="1"/>
        <v>4</v>
      </c>
      <c r="B144" s="92">
        <f t="shared" si="2"/>
        <v>2</v>
      </c>
      <c r="C144" s="93">
        <v>43145.0</v>
      </c>
      <c r="D144" s="94" t="s">
        <v>159</v>
      </c>
      <c r="E144" s="94" t="s">
        <v>37</v>
      </c>
      <c r="F144" s="100"/>
      <c r="G144" s="95">
        <v>600.0</v>
      </c>
      <c r="H144" s="99"/>
      <c r="I144" s="97" t="str">
        <f t="shared" si="3"/>
        <v/>
      </c>
      <c r="J144" s="97"/>
      <c r="K144" s="97"/>
      <c r="L144" s="97"/>
      <c r="M144" s="97"/>
      <c r="N144" s="97"/>
      <c r="O144" s="97"/>
      <c r="P144" s="97"/>
    </row>
    <row r="145">
      <c r="A145" s="92">
        <f t="shared" si="1"/>
        <v>5</v>
      </c>
      <c r="B145" s="92">
        <f t="shared" si="2"/>
        <v>2</v>
      </c>
      <c r="C145" s="93">
        <v>43146.0</v>
      </c>
      <c r="D145" s="94" t="s">
        <v>80</v>
      </c>
      <c r="E145" s="94" t="s">
        <v>24</v>
      </c>
      <c r="F145" s="94" t="s">
        <v>80</v>
      </c>
      <c r="G145" s="95">
        <v>216.0</v>
      </c>
      <c r="H145" s="99"/>
      <c r="I145" s="97" t="str">
        <f t="shared" si="3"/>
        <v>Такси</v>
      </c>
      <c r="J145" s="97" t="s">
        <v>81</v>
      </c>
      <c r="K145" s="97" t="s">
        <v>82</v>
      </c>
      <c r="L145" s="97" t="s">
        <v>83</v>
      </c>
      <c r="M145" s="97" t="s">
        <v>84</v>
      </c>
      <c r="N145" s="97"/>
      <c r="O145" s="97"/>
      <c r="P145" s="97"/>
    </row>
    <row r="146">
      <c r="A146" s="92">
        <f t="shared" si="1"/>
        <v>5</v>
      </c>
      <c r="B146" s="92">
        <f t="shared" si="2"/>
        <v>2</v>
      </c>
      <c r="C146" s="93">
        <v>43146.0</v>
      </c>
      <c r="D146" s="94" t="s">
        <v>43</v>
      </c>
      <c r="E146" s="94" t="s">
        <v>43</v>
      </c>
      <c r="F146" s="100"/>
      <c r="G146" s="95">
        <v>100.0</v>
      </c>
      <c r="H146" s="99"/>
      <c r="I146" s="97" t="str">
        <f t="shared" si="3"/>
        <v/>
      </c>
      <c r="J146" s="97"/>
      <c r="K146" s="97"/>
      <c r="L146" s="97"/>
      <c r="M146" s="97"/>
      <c r="N146" s="97"/>
      <c r="O146" s="97"/>
      <c r="P146" s="97"/>
    </row>
    <row r="147">
      <c r="A147" s="92">
        <f t="shared" si="1"/>
        <v>6</v>
      </c>
      <c r="B147" s="92">
        <f t="shared" si="2"/>
        <v>2</v>
      </c>
      <c r="C147" s="93">
        <v>43147.0</v>
      </c>
      <c r="D147" s="94" t="s">
        <v>81</v>
      </c>
      <c r="E147" s="94" t="s">
        <v>24</v>
      </c>
      <c r="F147" s="94" t="s">
        <v>81</v>
      </c>
      <c r="G147" s="95">
        <v>150.0</v>
      </c>
      <c r="H147" s="99"/>
      <c r="I147" s="97" t="str">
        <f t="shared" si="3"/>
        <v>Такси</v>
      </c>
      <c r="J147" s="97" t="s">
        <v>81</v>
      </c>
      <c r="K147" s="97" t="s">
        <v>82</v>
      </c>
      <c r="L147" s="97" t="s">
        <v>83</v>
      </c>
      <c r="M147" s="97" t="s">
        <v>84</v>
      </c>
      <c r="N147" s="97"/>
      <c r="O147" s="97"/>
      <c r="P147" s="97"/>
    </row>
    <row r="148">
      <c r="A148" s="92">
        <f t="shared" si="1"/>
        <v>6</v>
      </c>
      <c r="B148" s="92">
        <f t="shared" si="2"/>
        <v>2</v>
      </c>
      <c r="C148" s="93">
        <v>43147.0</v>
      </c>
      <c r="D148" s="94" t="s">
        <v>82</v>
      </c>
      <c r="E148" s="94" t="s">
        <v>24</v>
      </c>
      <c r="F148" s="94" t="s">
        <v>82</v>
      </c>
      <c r="G148" s="95">
        <v>100.0</v>
      </c>
      <c r="H148" s="99"/>
      <c r="I148" s="97" t="str">
        <f t="shared" si="3"/>
        <v>Такси</v>
      </c>
      <c r="J148" s="97" t="s">
        <v>81</v>
      </c>
      <c r="K148" s="97" t="s">
        <v>82</v>
      </c>
      <c r="L148" s="97" t="s">
        <v>83</v>
      </c>
      <c r="M148" s="97" t="s">
        <v>84</v>
      </c>
      <c r="N148" s="97"/>
      <c r="O148" s="97"/>
      <c r="P148" s="97"/>
    </row>
    <row r="149">
      <c r="A149" s="92">
        <f t="shared" si="1"/>
        <v>6</v>
      </c>
      <c r="B149" s="92">
        <f t="shared" si="2"/>
        <v>2</v>
      </c>
      <c r="C149" s="93">
        <v>43147.0</v>
      </c>
      <c r="D149" s="94" t="s">
        <v>154</v>
      </c>
      <c r="E149" s="94" t="s">
        <v>37</v>
      </c>
      <c r="F149" s="100"/>
      <c r="G149" s="95">
        <v>690.0</v>
      </c>
      <c r="H149" s="99"/>
      <c r="I149" s="97" t="str">
        <f t="shared" si="3"/>
        <v/>
      </c>
      <c r="J149" s="97"/>
      <c r="K149" s="97"/>
      <c r="L149" s="97"/>
      <c r="M149" s="97"/>
      <c r="N149" s="97"/>
      <c r="O149" s="97"/>
      <c r="P149" s="97"/>
    </row>
    <row r="150">
      <c r="A150" s="92">
        <f t="shared" si="1"/>
        <v>6</v>
      </c>
      <c r="B150" s="92">
        <f t="shared" si="2"/>
        <v>2</v>
      </c>
      <c r="C150" s="93">
        <v>43147.0</v>
      </c>
      <c r="D150" s="94" t="s">
        <v>160</v>
      </c>
      <c r="E150" s="94" t="s">
        <v>15</v>
      </c>
      <c r="F150" s="94" t="s">
        <v>110</v>
      </c>
      <c r="G150" s="95">
        <v>400.0</v>
      </c>
      <c r="H150" s="99"/>
      <c r="I150" s="97" t="str">
        <f t="shared" si="3"/>
        <v>Обед (работа)</v>
      </c>
      <c r="J150" s="97" t="s">
        <v>93</v>
      </c>
      <c r="K150" s="97" t="s">
        <v>94</v>
      </c>
      <c r="L150" s="97" t="s">
        <v>95</v>
      </c>
      <c r="M150" s="97" t="s">
        <v>92</v>
      </c>
      <c r="N150" s="97"/>
      <c r="O150" s="97"/>
      <c r="P150" s="97"/>
    </row>
    <row r="151">
      <c r="A151" s="92">
        <f t="shared" si="1"/>
        <v>6</v>
      </c>
      <c r="B151" s="92">
        <f t="shared" si="2"/>
        <v>2</v>
      </c>
      <c r="C151" s="93">
        <v>43147.0</v>
      </c>
      <c r="D151" s="94" t="s">
        <v>80</v>
      </c>
      <c r="E151" s="94" t="s">
        <v>24</v>
      </c>
      <c r="F151" s="94" t="s">
        <v>80</v>
      </c>
      <c r="G151" s="95">
        <v>243.0</v>
      </c>
      <c r="H151" s="99"/>
      <c r="I151" s="97" t="str">
        <f t="shared" si="3"/>
        <v>Такси</v>
      </c>
      <c r="J151" s="97" t="s">
        <v>81</v>
      </c>
      <c r="K151" s="97" t="s">
        <v>82</v>
      </c>
      <c r="L151" s="97" t="s">
        <v>83</v>
      </c>
      <c r="M151" s="97" t="s">
        <v>84</v>
      </c>
      <c r="N151" s="97"/>
      <c r="O151" s="97"/>
      <c r="P151" s="97"/>
    </row>
    <row r="152">
      <c r="A152" s="92">
        <f t="shared" si="1"/>
        <v>6</v>
      </c>
      <c r="B152" s="92">
        <f t="shared" si="2"/>
        <v>2</v>
      </c>
      <c r="C152" s="93">
        <v>43147.0</v>
      </c>
      <c r="D152" s="94" t="s">
        <v>102</v>
      </c>
      <c r="E152" s="94" t="s">
        <v>21</v>
      </c>
      <c r="F152" s="94" t="s">
        <v>102</v>
      </c>
      <c r="G152" s="95" t="s">
        <v>161</v>
      </c>
      <c r="H152" s="99"/>
      <c r="I152" s="97" t="str">
        <f t="shared" si="3"/>
        <v>Вино</v>
      </c>
      <c r="J152" s="97" t="s">
        <v>97</v>
      </c>
      <c r="K152" s="97" t="s">
        <v>98</v>
      </c>
      <c r="L152" s="97" t="s">
        <v>99</v>
      </c>
      <c r="M152" s="97" t="s">
        <v>100</v>
      </c>
      <c r="N152" s="97"/>
      <c r="O152" s="97"/>
      <c r="P152" s="97"/>
    </row>
    <row r="153">
      <c r="A153" s="92">
        <f t="shared" si="1"/>
        <v>7</v>
      </c>
      <c r="B153" s="92">
        <f t="shared" si="2"/>
        <v>2</v>
      </c>
      <c r="C153" s="93">
        <v>43148.0</v>
      </c>
      <c r="D153" s="94" t="s">
        <v>95</v>
      </c>
      <c r="E153" s="94" t="s">
        <v>15</v>
      </c>
      <c r="F153" s="94" t="s">
        <v>95</v>
      </c>
      <c r="G153" s="95">
        <v>290.0</v>
      </c>
      <c r="H153" s="99"/>
      <c r="I153" s="97" t="str">
        <f t="shared" si="3"/>
        <v>Обед (работа)</v>
      </c>
      <c r="J153" s="97" t="s">
        <v>93</v>
      </c>
      <c r="K153" s="97" t="s">
        <v>94</v>
      </c>
      <c r="L153" s="97" t="s">
        <v>95</v>
      </c>
      <c r="M153" s="97" t="s">
        <v>92</v>
      </c>
      <c r="N153" s="97"/>
      <c r="O153" s="97"/>
      <c r="P153" s="97"/>
    </row>
    <row r="154">
      <c r="A154" s="92">
        <f t="shared" si="1"/>
        <v>7</v>
      </c>
      <c r="B154" s="92">
        <f t="shared" si="2"/>
        <v>2</v>
      </c>
      <c r="C154" s="93">
        <v>43148.0</v>
      </c>
      <c r="D154" s="94" t="s">
        <v>80</v>
      </c>
      <c r="E154" s="94" t="s">
        <v>24</v>
      </c>
      <c r="F154" s="94" t="s">
        <v>80</v>
      </c>
      <c r="G154" s="95">
        <v>220.0</v>
      </c>
      <c r="H154" s="99"/>
      <c r="I154" s="97" t="str">
        <f t="shared" si="3"/>
        <v>Такси</v>
      </c>
      <c r="J154" s="97" t="s">
        <v>81</v>
      </c>
      <c r="K154" s="97" t="s">
        <v>82</v>
      </c>
      <c r="L154" s="97" t="s">
        <v>83</v>
      </c>
      <c r="M154" s="97" t="s">
        <v>84</v>
      </c>
      <c r="N154" s="97"/>
      <c r="O154" s="97"/>
      <c r="P154" s="97"/>
    </row>
    <row r="155">
      <c r="A155" s="92">
        <f t="shared" si="1"/>
        <v>7</v>
      </c>
      <c r="B155" s="92">
        <f t="shared" si="2"/>
        <v>2</v>
      </c>
      <c r="C155" s="93">
        <v>43148.0</v>
      </c>
      <c r="D155" s="94" t="s">
        <v>98</v>
      </c>
      <c r="E155" s="94" t="s">
        <v>21</v>
      </c>
      <c r="F155" s="94" t="s">
        <v>98</v>
      </c>
      <c r="G155" s="95">
        <v>612.0</v>
      </c>
      <c r="H155" s="99"/>
      <c r="I155" s="97" t="str">
        <f t="shared" si="3"/>
        <v>Вино</v>
      </c>
      <c r="J155" s="97" t="s">
        <v>97</v>
      </c>
      <c r="K155" s="97" t="s">
        <v>98</v>
      </c>
      <c r="L155" s="97" t="s">
        <v>99</v>
      </c>
      <c r="M155" s="97" t="s">
        <v>100</v>
      </c>
      <c r="N155" s="97"/>
      <c r="O155" s="97"/>
      <c r="P155" s="97"/>
    </row>
    <row r="156">
      <c r="A156" s="92">
        <f t="shared" si="1"/>
        <v>7</v>
      </c>
      <c r="B156" s="92">
        <f t="shared" si="2"/>
        <v>2</v>
      </c>
      <c r="C156" s="93">
        <v>43148.0</v>
      </c>
      <c r="D156" s="94" t="s">
        <v>80</v>
      </c>
      <c r="E156" s="94" t="s">
        <v>24</v>
      </c>
      <c r="F156" s="94" t="s">
        <v>80</v>
      </c>
      <c r="G156" s="95">
        <v>210.0</v>
      </c>
      <c r="H156" s="99"/>
      <c r="I156" s="97" t="str">
        <f t="shared" si="3"/>
        <v>Такси</v>
      </c>
      <c r="J156" s="97" t="s">
        <v>81</v>
      </c>
      <c r="K156" s="97" t="s">
        <v>82</v>
      </c>
      <c r="L156" s="97" t="s">
        <v>83</v>
      </c>
      <c r="M156" s="97" t="s">
        <v>84</v>
      </c>
      <c r="N156" s="97"/>
      <c r="O156" s="97"/>
      <c r="P156" s="97"/>
    </row>
    <row r="157">
      <c r="A157" s="92">
        <f t="shared" si="1"/>
        <v>1</v>
      </c>
      <c r="B157" s="92">
        <f t="shared" si="2"/>
        <v>2</v>
      </c>
      <c r="C157" s="93">
        <v>43149.0</v>
      </c>
      <c r="D157" s="94" t="s">
        <v>101</v>
      </c>
      <c r="E157" s="94" t="s">
        <v>15</v>
      </c>
      <c r="F157" s="94" t="s">
        <v>110</v>
      </c>
      <c r="G157" s="95" t="s">
        <v>162</v>
      </c>
      <c r="H157" s="99"/>
      <c r="I157" s="97" t="str">
        <f t="shared" si="3"/>
        <v>Обед (работа)</v>
      </c>
      <c r="J157" s="97" t="s">
        <v>93</v>
      </c>
      <c r="K157" s="97" t="s">
        <v>94</v>
      </c>
      <c r="L157" s="97" t="s">
        <v>95</v>
      </c>
      <c r="M157" s="97" t="s">
        <v>92</v>
      </c>
      <c r="N157" s="97"/>
      <c r="O157" s="97"/>
      <c r="P157" s="97"/>
    </row>
    <row r="158">
      <c r="A158" s="92">
        <f t="shared" si="1"/>
        <v>1</v>
      </c>
      <c r="B158" s="92">
        <f t="shared" si="2"/>
        <v>2</v>
      </c>
      <c r="C158" s="93">
        <v>43149.0</v>
      </c>
      <c r="D158" s="94" t="s">
        <v>80</v>
      </c>
      <c r="E158" s="94" t="s">
        <v>24</v>
      </c>
      <c r="F158" s="94" t="s">
        <v>80</v>
      </c>
      <c r="G158" s="95">
        <v>220.0</v>
      </c>
      <c r="H158" s="99"/>
      <c r="I158" s="97" t="str">
        <f t="shared" si="3"/>
        <v>Такси</v>
      </c>
      <c r="J158" s="97" t="s">
        <v>81</v>
      </c>
      <c r="K158" s="97" t="s">
        <v>82</v>
      </c>
      <c r="L158" s="97" t="s">
        <v>83</v>
      </c>
      <c r="M158" s="97" t="s">
        <v>84</v>
      </c>
      <c r="N158" s="97"/>
      <c r="O158" s="97"/>
      <c r="P158" s="97"/>
    </row>
    <row r="159">
      <c r="A159" s="92">
        <f t="shared" si="1"/>
        <v>2</v>
      </c>
      <c r="B159" s="92">
        <f t="shared" si="2"/>
        <v>2</v>
      </c>
      <c r="C159" s="93">
        <v>43150.0</v>
      </c>
      <c r="D159" s="94" t="s">
        <v>43</v>
      </c>
      <c r="E159" s="94" t="s">
        <v>43</v>
      </c>
      <c r="F159" s="100"/>
      <c r="G159" s="95">
        <v>100.0</v>
      </c>
      <c r="H159" s="99"/>
      <c r="I159" s="97" t="str">
        <f t="shared" si="3"/>
        <v/>
      </c>
      <c r="J159" s="97"/>
      <c r="K159" s="97"/>
      <c r="L159" s="97"/>
      <c r="M159" s="97"/>
      <c r="N159" s="97"/>
      <c r="O159" s="97"/>
      <c r="P159" s="97"/>
    </row>
    <row r="160">
      <c r="A160" s="92">
        <f t="shared" si="1"/>
        <v>2</v>
      </c>
      <c r="B160" s="92">
        <f t="shared" si="2"/>
        <v>2</v>
      </c>
      <c r="C160" s="93">
        <v>43150.0</v>
      </c>
      <c r="D160" s="94" t="s">
        <v>83</v>
      </c>
      <c r="E160" s="94" t="s">
        <v>24</v>
      </c>
      <c r="F160" s="94" t="s">
        <v>83</v>
      </c>
      <c r="G160" s="95">
        <v>264.0</v>
      </c>
      <c r="H160" s="99"/>
      <c r="I160" s="97" t="str">
        <f t="shared" si="3"/>
        <v>Такси</v>
      </c>
      <c r="J160" s="97" t="s">
        <v>81</v>
      </c>
      <c r="K160" s="97" t="s">
        <v>82</v>
      </c>
      <c r="L160" s="97" t="s">
        <v>83</v>
      </c>
      <c r="M160" s="97" t="s">
        <v>84</v>
      </c>
      <c r="N160" s="97"/>
      <c r="O160" s="97"/>
      <c r="P160" s="97"/>
    </row>
    <row r="161">
      <c r="A161" s="92">
        <f t="shared" si="1"/>
        <v>2</v>
      </c>
      <c r="B161" s="92">
        <f t="shared" si="2"/>
        <v>2</v>
      </c>
      <c r="C161" s="93">
        <v>43150.0</v>
      </c>
      <c r="D161" s="94" t="s">
        <v>83</v>
      </c>
      <c r="E161" s="94" t="s">
        <v>24</v>
      </c>
      <c r="F161" s="94" t="s">
        <v>83</v>
      </c>
      <c r="G161" s="95" t="s">
        <v>125</v>
      </c>
      <c r="H161" s="99"/>
      <c r="I161" s="97" t="str">
        <f t="shared" si="3"/>
        <v>Такси</v>
      </c>
      <c r="J161" s="97" t="s">
        <v>81</v>
      </c>
      <c r="K161" s="97" t="s">
        <v>82</v>
      </c>
      <c r="L161" s="97" t="s">
        <v>83</v>
      </c>
      <c r="M161" s="97" t="s">
        <v>84</v>
      </c>
      <c r="N161" s="97"/>
      <c r="O161" s="97"/>
      <c r="P161" s="97"/>
    </row>
    <row r="162">
      <c r="A162" s="92">
        <f t="shared" si="1"/>
        <v>3</v>
      </c>
      <c r="B162" s="92">
        <f t="shared" si="2"/>
        <v>2</v>
      </c>
      <c r="C162" s="93">
        <v>43151.0</v>
      </c>
      <c r="D162" s="94" t="s">
        <v>83</v>
      </c>
      <c r="E162" s="94" t="s">
        <v>24</v>
      </c>
      <c r="F162" s="94" t="s">
        <v>83</v>
      </c>
      <c r="G162" s="95" t="s">
        <v>125</v>
      </c>
      <c r="H162" s="99"/>
      <c r="I162" s="97" t="str">
        <f t="shared" si="3"/>
        <v>Такси</v>
      </c>
      <c r="J162" s="97" t="s">
        <v>81</v>
      </c>
      <c r="K162" s="97" t="s">
        <v>82</v>
      </c>
      <c r="L162" s="97" t="s">
        <v>83</v>
      </c>
      <c r="M162" s="97" t="s">
        <v>84</v>
      </c>
      <c r="N162" s="97"/>
      <c r="O162" s="97"/>
      <c r="P162" s="97"/>
    </row>
    <row r="163">
      <c r="A163" s="92">
        <f t="shared" si="1"/>
        <v>3</v>
      </c>
      <c r="B163" s="92">
        <f t="shared" si="2"/>
        <v>2</v>
      </c>
      <c r="C163" s="93">
        <v>43151.0</v>
      </c>
      <c r="D163" s="94" t="s">
        <v>91</v>
      </c>
      <c r="E163" s="94" t="s">
        <v>15</v>
      </c>
      <c r="F163" s="94" t="s">
        <v>117</v>
      </c>
      <c r="G163" s="95">
        <v>243.0</v>
      </c>
      <c r="H163" s="99"/>
      <c r="I163" s="97" t="str">
        <f t="shared" si="3"/>
        <v>Обед (работа)</v>
      </c>
      <c r="J163" s="97" t="s">
        <v>93</v>
      </c>
      <c r="K163" s="97" t="s">
        <v>94</v>
      </c>
      <c r="L163" s="97" t="s">
        <v>95</v>
      </c>
      <c r="M163" s="97" t="s">
        <v>92</v>
      </c>
      <c r="N163" s="97"/>
      <c r="O163" s="97"/>
      <c r="P163" s="97"/>
    </row>
    <row r="164">
      <c r="A164" s="92">
        <f t="shared" si="1"/>
        <v>4</v>
      </c>
      <c r="B164" s="92">
        <f t="shared" si="2"/>
        <v>2</v>
      </c>
      <c r="C164" s="93">
        <v>43152.0</v>
      </c>
      <c r="D164" s="101" t="s">
        <v>124</v>
      </c>
      <c r="E164" s="100"/>
      <c r="F164" s="100"/>
      <c r="G164" s="95">
        <v>0.0</v>
      </c>
      <c r="H164" s="99"/>
      <c r="I164" s="97" t="str">
        <f t="shared" si="3"/>
        <v/>
      </c>
      <c r="J164" s="97"/>
      <c r="K164" s="97"/>
      <c r="L164" s="97"/>
      <c r="M164" s="97"/>
      <c r="N164" s="97"/>
      <c r="O164" s="97"/>
      <c r="P164" s="97"/>
    </row>
    <row r="165">
      <c r="A165" s="92">
        <f t="shared" si="1"/>
        <v>5</v>
      </c>
      <c r="B165" s="92">
        <f t="shared" si="2"/>
        <v>2</v>
      </c>
      <c r="C165" s="93">
        <v>43153.0</v>
      </c>
      <c r="D165" s="94" t="s">
        <v>91</v>
      </c>
      <c r="E165" s="94" t="s">
        <v>15</v>
      </c>
      <c r="F165" s="94" t="s">
        <v>117</v>
      </c>
      <c r="G165" s="95">
        <v>200.0</v>
      </c>
      <c r="H165" s="99"/>
      <c r="I165" s="97" t="str">
        <f t="shared" si="3"/>
        <v>Обед (работа)</v>
      </c>
      <c r="J165" s="97" t="s">
        <v>93</v>
      </c>
      <c r="K165" s="97" t="s">
        <v>94</v>
      </c>
      <c r="L165" s="97" t="s">
        <v>95</v>
      </c>
      <c r="M165" s="97" t="s">
        <v>92</v>
      </c>
      <c r="N165" s="97"/>
      <c r="O165" s="97"/>
      <c r="P165" s="97"/>
    </row>
    <row r="166">
      <c r="A166" s="92">
        <f t="shared" si="1"/>
        <v>5</v>
      </c>
      <c r="B166" s="92">
        <f t="shared" si="2"/>
        <v>2</v>
      </c>
      <c r="C166" s="93">
        <v>43153.0</v>
      </c>
      <c r="D166" s="94" t="s">
        <v>139</v>
      </c>
      <c r="E166" s="94" t="s">
        <v>15</v>
      </c>
      <c r="F166" s="94" t="s">
        <v>95</v>
      </c>
      <c r="G166" s="95">
        <v>523.0</v>
      </c>
      <c r="H166" s="99"/>
      <c r="I166" s="97" t="str">
        <f t="shared" si="3"/>
        <v>Обед (работа)</v>
      </c>
      <c r="J166" s="97" t="s">
        <v>93</v>
      </c>
      <c r="K166" s="97" t="s">
        <v>94</v>
      </c>
      <c r="L166" s="97" t="s">
        <v>95</v>
      </c>
      <c r="M166" s="97" t="s">
        <v>92</v>
      </c>
      <c r="N166" s="97"/>
      <c r="O166" s="97"/>
      <c r="P166" s="97"/>
    </row>
    <row r="167">
      <c r="A167" s="92">
        <f t="shared" si="1"/>
        <v>5</v>
      </c>
      <c r="B167" s="92">
        <f t="shared" si="2"/>
        <v>2</v>
      </c>
      <c r="C167" s="93">
        <v>43153.0</v>
      </c>
      <c r="D167" s="94" t="s">
        <v>102</v>
      </c>
      <c r="E167" s="94" t="s">
        <v>21</v>
      </c>
      <c r="F167" s="94" t="s">
        <v>102</v>
      </c>
      <c r="G167" s="95" t="s">
        <v>163</v>
      </c>
      <c r="H167" s="99"/>
      <c r="I167" s="97" t="str">
        <f t="shared" si="3"/>
        <v>Вино</v>
      </c>
      <c r="J167" s="97" t="s">
        <v>97</v>
      </c>
      <c r="K167" s="97" t="s">
        <v>98</v>
      </c>
      <c r="L167" s="97" t="s">
        <v>99</v>
      </c>
      <c r="M167" s="97" t="s">
        <v>100</v>
      </c>
      <c r="N167" s="97"/>
      <c r="O167" s="97"/>
      <c r="P167" s="97"/>
    </row>
    <row r="168">
      <c r="A168" s="92">
        <f t="shared" si="1"/>
        <v>5</v>
      </c>
      <c r="B168" s="92">
        <f t="shared" si="2"/>
        <v>2</v>
      </c>
      <c r="C168" s="93">
        <v>43153.0</v>
      </c>
      <c r="D168" s="94" t="s">
        <v>164</v>
      </c>
      <c r="E168" s="94" t="s">
        <v>18</v>
      </c>
      <c r="F168" s="94" t="s">
        <v>116</v>
      </c>
      <c r="G168" s="95" t="s">
        <v>165</v>
      </c>
      <c r="H168" s="99"/>
      <c r="I168" s="97" t="str">
        <f t="shared" si="3"/>
        <v>Родственники</v>
      </c>
      <c r="J168" s="97" t="s">
        <v>116</v>
      </c>
      <c r="K168" s="97" t="s">
        <v>115</v>
      </c>
      <c r="L168" s="97"/>
      <c r="M168" s="97"/>
      <c r="N168" s="97"/>
      <c r="O168" s="97"/>
      <c r="P168" s="97"/>
    </row>
    <row r="169">
      <c r="A169" s="92">
        <f t="shared" si="1"/>
        <v>5</v>
      </c>
      <c r="B169" s="92">
        <f t="shared" si="2"/>
        <v>2</v>
      </c>
      <c r="C169" s="93">
        <v>43153.0</v>
      </c>
      <c r="D169" s="94" t="s">
        <v>166</v>
      </c>
      <c r="E169" s="94" t="s">
        <v>46</v>
      </c>
      <c r="F169" s="100"/>
      <c r="G169" s="95">
        <v>505.0</v>
      </c>
      <c r="H169" s="99"/>
      <c r="I169" s="97" t="str">
        <f t="shared" si="3"/>
        <v/>
      </c>
      <c r="J169" s="97"/>
      <c r="K169" s="97"/>
      <c r="L169" s="97"/>
      <c r="M169" s="97"/>
      <c r="N169" s="97"/>
      <c r="O169" s="97"/>
      <c r="P169" s="97"/>
    </row>
    <row r="170">
      <c r="A170" s="92">
        <f t="shared" si="1"/>
        <v>5</v>
      </c>
      <c r="B170" s="92">
        <f t="shared" si="2"/>
        <v>2</v>
      </c>
      <c r="C170" s="93">
        <v>43153.0</v>
      </c>
      <c r="D170" s="94" t="s">
        <v>167</v>
      </c>
      <c r="E170" s="94" t="s">
        <v>40</v>
      </c>
      <c r="F170" s="100"/>
      <c r="G170" s="95">
        <v>200.0</v>
      </c>
      <c r="H170" s="99"/>
      <c r="I170" s="97" t="str">
        <f t="shared" si="3"/>
        <v/>
      </c>
      <c r="J170" s="97"/>
      <c r="K170" s="97"/>
      <c r="L170" s="97"/>
      <c r="M170" s="97"/>
      <c r="N170" s="97"/>
      <c r="O170" s="97"/>
      <c r="P170" s="97"/>
    </row>
    <row r="171">
      <c r="A171" s="92">
        <f t="shared" si="1"/>
        <v>5</v>
      </c>
      <c r="B171" s="92">
        <f t="shared" si="2"/>
        <v>2</v>
      </c>
      <c r="C171" s="93">
        <v>43153.0</v>
      </c>
      <c r="D171" s="94" t="s">
        <v>43</v>
      </c>
      <c r="E171" s="94" t="s">
        <v>43</v>
      </c>
      <c r="F171" s="100"/>
      <c r="G171" s="95">
        <v>100.0</v>
      </c>
      <c r="H171" s="99"/>
      <c r="I171" s="97" t="str">
        <f t="shared" si="3"/>
        <v/>
      </c>
      <c r="J171" s="97"/>
      <c r="K171" s="97"/>
      <c r="L171" s="97"/>
      <c r="M171" s="97"/>
      <c r="N171" s="97"/>
      <c r="O171" s="97"/>
      <c r="P171" s="97"/>
    </row>
    <row r="172">
      <c r="A172" s="92">
        <f t="shared" si="1"/>
        <v>5</v>
      </c>
      <c r="B172" s="92">
        <f t="shared" si="2"/>
        <v>2</v>
      </c>
      <c r="C172" s="93">
        <v>43153.0</v>
      </c>
      <c r="D172" s="94" t="s">
        <v>80</v>
      </c>
      <c r="E172" s="94" t="s">
        <v>24</v>
      </c>
      <c r="F172" s="94" t="s">
        <v>80</v>
      </c>
      <c r="G172" s="95" t="s">
        <v>168</v>
      </c>
      <c r="H172" s="99"/>
      <c r="I172" s="97" t="str">
        <f t="shared" si="3"/>
        <v>Такси</v>
      </c>
      <c r="J172" s="97" t="s">
        <v>81</v>
      </c>
      <c r="K172" s="97" t="s">
        <v>82</v>
      </c>
      <c r="L172" s="97" t="s">
        <v>83</v>
      </c>
      <c r="M172" s="97" t="s">
        <v>84</v>
      </c>
      <c r="N172" s="97"/>
      <c r="O172" s="97"/>
      <c r="P172" s="97"/>
    </row>
    <row r="173">
      <c r="A173" s="92">
        <f t="shared" si="1"/>
        <v>6</v>
      </c>
      <c r="B173" s="92">
        <f t="shared" si="2"/>
        <v>2</v>
      </c>
      <c r="C173" s="93">
        <v>43154.0</v>
      </c>
      <c r="D173" s="94" t="s">
        <v>169</v>
      </c>
      <c r="E173" s="94" t="s">
        <v>18</v>
      </c>
      <c r="F173" s="94" t="s">
        <v>120</v>
      </c>
      <c r="G173" s="95" t="s">
        <v>170</v>
      </c>
      <c r="H173" s="99"/>
      <c r="I173" s="97" t="str">
        <f t="shared" si="3"/>
        <v>Родственники</v>
      </c>
      <c r="J173" s="97" t="s">
        <v>116</v>
      </c>
      <c r="K173" s="97" t="s">
        <v>115</v>
      </c>
      <c r="L173" s="97"/>
      <c r="M173" s="97"/>
      <c r="N173" s="97"/>
      <c r="O173" s="97"/>
      <c r="P173" s="97"/>
    </row>
    <row r="174">
      <c r="A174" s="92">
        <f t="shared" si="1"/>
        <v>6</v>
      </c>
      <c r="B174" s="92">
        <f t="shared" si="2"/>
        <v>2</v>
      </c>
      <c r="C174" s="93">
        <v>43154.0</v>
      </c>
      <c r="D174" s="94" t="s">
        <v>102</v>
      </c>
      <c r="E174" s="94" t="s">
        <v>21</v>
      </c>
      <c r="F174" s="94" t="s">
        <v>102</v>
      </c>
      <c r="G174" s="95">
        <v>500.0</v>
      </c>
      <c r="H174" s="99"/>
      <c r="I174" s="97" t="str">
        <f t="shared" si="3"/>
        <v>Вино</v>
      </c>
      <c r="J174" s="97" t="s">
        <v>97</v>
      </c>
      <c r="K174" s="97" t="s">
        <v>98</v>
      </c>
      <c r="L174" s="97" t="s">
        <v>99</v>
      </c>
      <c r="M174" s="97" t="s">
        <v>100</v>
      </c>
      <c r="N174" s="97"/>
      <c r="O174" s="97"/>
      <c r="P174" s="97"/>
    </row>
    <row r="175">
      <c r="A175" s="92">
        <f t="shared" si="1"/>
        <v>6</v>
      </c>
      <c r="B175" s="92">
        <f t="shared" si="2"/>
        <v>2</v>
      </c>
      <c r="C175" s="93">
        <v>43154.0</v>
      </c>
      <c r="D175" s="94" t="s">
        <v>171</v>
      </c>
      <c r="E175" s="94" t="s">
        <v>21</v>
      </c>
      <c r="F175" s="94" t="s">
        <v>99</v>
      </c>
      <c r="G175" s="95" t="s">
        <v>172</v>
      </c>
      <c r="H175" s="99"/>
      <c r="I175" s="97" t="str">
        <f t="shared" si="3"/>
        <v>Вино</v>
      </c>
      <c r="J175" s="97" t="s">
        <v>97</v>
      </c>
      <c r="K175" s="97" t="s">
        <v>98</v>
      </c>
      <c r="L175" s="97" t="s">
        <v>99</v>
      </c>
      <c r="M175" s="97" t="s">
        <v>100</v>
      </c>
      <c r="N175" s="97"/>
      <c r="O175" s="97"/>
      <c r="P175" s="97"/>
    </row>
    <row r="176">
      <c r="A176" s="92">
        <f t="shared" si="1"/>
        <v>7</v>
      </c>
      <c r="B176" s="92">
        <f t="shared" si="2"/>
        <v>2</v>
      </c>
      <c r="C176" s="93">
        <v>43155.0</v>
      </c>
      <c r="D176" s="94" t="s">
        <v>173</v>
      </c>
      <c r="E176" s="94" t="s">
        <v>15</v>
      </c>
      <c r="F176" s="94" t="s">
        <v>95</v>
      </c>
      <c r="G176" s="95">
        <v>564.0</v>
      </c>
      <c r="H176" s="99"/>
      <c r="I176" s="97" t="str">
        <f t="shared" si="3"/>
        <v>Обед (работа)</v>
      </c>
      <c r="J176" s="97" t="s">
        <v>93</v>
      </c>
      <c r="K176" s="97" t="s">
        <v>94</v>
      </c>
      <c r="L176" s="97" t="s">
        <v>95</v>
      </c>
      <c r="M176" s="97" t="s">
        <v>92</v>
      </c>
      <c r="N176" s="97"/>
      <c r="O176" s="97"/>
      <c r="P176" s="97"/>
    </row>
    <row r="177">
      <c r="A177" s="92">
        <f t="shared" si="1"/>
        <v>7</v>
      </c>
      <c r="B177" s="92">
        <f t="shared" si="2"/>
        <v>2</v>
      </c>
      <c r="C177" s="93">
        <v>43155.0</v>
      </c>
      <c r="D177" s="94" t="s">
        <v>80</v>
      </c>
      <c r="E177" s="94" t="s">
        <v>24</v>
      </c>
      <c r="F177" s="94" t="s">
        <v>80</v>
      </c>
      <c r="G177" s="95">
        <v>214.0</v>
      </c>
      <c r="H177" s="99"/>
      <c r="I177" s="97" t="str">
        <f t="shared" si="3"/>
        <v>Такси</v>
      </c>
      <c r="J177" s="97" t="s">
        <v>81</v>
      </c>
      <c r="K177" s="97" t="s">
        <v>82</v>
      </c>
      <c r="L177" s="97" t="s">
        <v>83</v>
      </c>
      <c r="M177" s="97" t="s">
        <v>84</v>
      </c>
      <c r="N177" s="97"/>
      <c r="O177" s="97"/>
      <c r="P177" s="97"/>
    </row>
    <row r="178">
      <c r="A178" s="92">
        <f t="shared" si="1"/>
        <v>1</v>
      </c>
      <c r="B178" s="92">
        <f t="shared" si="2"/>
        <v>2</v>
      </c>
      <c r="C178" s="93">
        <v>43156.0</v>
      </c>
      <c r="D178" s="94" t="s">
        <v>80</v>
      </c>
      <c r="E178" s="94" t="s">
        <v>24</v>
      </c>
      <c r="F178" s="94" t="s">
        <v>80</v>
      </c>
      <c r="G178" s="95">
        <v>152.0</v>
      </c>
      <c r="H178" s="99"/>
      <c r="I178" s="97" t="str">
        <f t="shared" si="3"/>
        <v>Такси</v>
      </c>
      <c r="J178" s="97" t="s">
        <v>81</v>
      </c>
      <c r="K178" s="97" t="s">
        <v>82</v>
      </c>
      <c r="L178" s="97" t="s">
        <v>83</v>
      </c>
      <c r="M178" s="97" t="s">
        <v>84</v>
      </c>
      <c r="N178" s="97"/>
      <c r="O178" s="97"/>
      <c r="P178" s="97"/>
    </row>
    <row r="179">
      <c r="A179" s="92">
        <f t="shared" si="1"/>
        <v>1</v>
      </c>
      <c r="B179" s="92">
        <f t="shared" si="2"/>
        <v>2</v>
      </c>
      <c r="C179" s="93">
        <v>43156.0</v>
      </c>
      <c r="D179" s="94" t="s">
        <v>80</v>
      </c>
      <c r="E179" s="94" t="s">
        <v>24</v>
      </c>
      <c r="F179" s="94" t="s">
        <v>80</v>
      </c>
      <c r="G179" s="95">
        <v>164.0</v>
      </c>
      <c r="H179" s="99"/>
      <c r="I179" s="97" t="str">
        <f t="shared" si="3"/>
        <v>Такси</v>
      </c>
      <c r="J179" s="97" t="s">
        <v>81</v>
      </c>
      <c r="K179" s="97" t="s">
        <v>82</v>
      </c>
      <c r="L179" s="97" t="s">
        <v>83</v>
      </c>
      <c r="M179" s="97" t="s">
        <v>84</v>
      </c>
      <c r="N179" s="97"/>
      <c r="O179" s="97"/>
      <c r="P179" s="97"/>
    </row>
    <row r="180">
      <c r="A180" s="92">
        <f t="shared" si="1"/>
        <v>1</v>
      </c>
      <c r="B180" s="92">
        <f t="shared" si="2"/>
        <v>2</v>
      </c>
      <c r="C180" s="93">
        <v>43156.0</v>
      </c>
      <c r="D180" s="94" t="s">
        <v>174</v>
      </c>
      <c r="E180" s="94" t="s">
        <v>15</v>
      </c>
      <c r="F180" s="94" t="s">
        <v>110</v>
      </c>
      <c r="G180" s="95">
        <v>288.0</v>
      </c>
      <c r="H180" s="99"/>
      <c r="I180" s="97" t="str">
        <f t="shared" si="3"/>
        <v>Обед (работа)</v>
      </c>
      <c r="J180" s="97" t="s">
        <v>93</v>
      </c>
      <c r="K180" s="97" t="s">
        <v>94</v>
      </c>
      <c r="L180" s="97" t="s">
        <v>95</v>
      </c>
      <c r="M180" s="97" t="s">
        <v>92</v>
      </c>
      <c r="N180" s="97"/>
      <c r="O180" s="97"/>
      <c r="P180" s="97"/>
    </row>
    <row r="181">
      <c r="A181" s="92">
        <f t="shared" si="1"/>
        <v>1</v>
      </c>
      <c r="B181" s="92">
        <f t="shared" si="2"/>
        <v>2</v>
      </c>
      <c r="C181" s="93">
        <v>43156.0</v>
      </c>
      <c r="D181" s="94" t="s">
        <v>175</v>
      </c>
      <c r="E181" s="94" t="s">
        <v>15</v>
      </c>
      <c r="F181" s="94" t="s">
        <v>110</v>
      </c>
      <c r="G181" s="95">
        <v>200.0</v>
      </c>
      <c r="H181" s="99"/>
      <c r="I181" s="97" t="str">
        <f t="shared" si="3"/>
        <v>Обед (работа)</v>
      </c>
      <c r="J181" s="97" t="s">
        <v>93</v>
      </c>
      <c r="K181" s="97" t="s">
        <v>94</v>
      </c>
      <c r="L181" s="97" t="s">
        <v>95</v>
      </c>
      <c r="M181" s="97" t="s">
        <v>92</v>
      </c>
      <c r="N181" s="97"/>
      <c r="O181" s="97"/>
      <c r="P181" s="97"/>
    </row>
    <row r="182">
      <c r="A182" s="92">
        <f t="shared" si="1"/>
        <v>1</v>
      </c>
      <c r="B182" s="92">
        <f t="shared" si="2"/>
        <v>2</v>
      </c>
      <c r="C182" s="93">
        <v>43156.0</v>
      </c>
      <c r="D182" s="94" t="s">
        <v>167</v>
      </c>
      <c r="E182" s="94" t="s">
        <v>40</v>
      </c>
      <c r="F182" s="100"/>
      <c r="G182" s="95">
        <v>360.0</v>
      </c>
      <c r="H182" s="99"/>
      <c r="I182" s="97" t="str">
        <f t="shared" si="3"/>
        <v/>
      </c>
      <c r="J182" s="97"/>
      <c r="K182" s="97"/>
      <c r="L182" s="97"/>
      <c r="M182" s="97"/>
      <c r="N182" s="97"/>
      <c r="O182" s="97"/>
      <c r="P182" s="97"/>
    </row>
    <row r="183">
      <c r="A183" s="92">
        <f t="shared" si="1"/>
        <v>2</v>
      </c>
      <c r="B183" s="92">
        <f t="shared" si="2"/>
        <v>2</v>
      </c>
      <c r="C183" s="93">
        <v>43157.0</v>
      </c>
      <c r="D183" s="94" t="s">
        <v>91</v>
      </c>
      <c r="E183" s="94" t="s">
        <v>15</v>
      </c>
      <c r="F183" s="94" t="s">
        <v>117</v>
      </c>
      <c r="G183" s="95">
        <v>355.0</v>
      </c>
      <c r="H183" s="99"/>
      <c r="I183" s="97" t="str">
        <f t="shared" si="3"/>
        <v>Обед (работа)</v>
      </c>
      <c r="J183" s="97" t="s">
        <v>93</v>
      </c>
      <c r="K183" s="97" t="s">
        <v>94</v>
      </c>
      <c r="L183" s="97" t="s">
        <v>95</v>
      </c>
      <c r="M183" s="97" t="s">
        <v>92</v>
      </c>
      <c r="N183" s="97"/>
      <c r="O183" s="97"/>
      <c r="P183" s="97"/>
    </row>
    <row r="184">
      <c r="A184" s="92">
        <f t="shared" si="1"/>
        <v>2</v>
      </c>
      <c r="B184" s="92">
        <f t="shared" si="2"/>
        <v>2</v>
      </c>
      <c r="C184" s="93">
        <v>43157.0</v>
      </c>
      <c r="D184" s="94" t="s">
        <v>95</v>
      </c>
      <c r="E184" s="94" t="s">
        <v>15</v>
      </c>
      <c r="F184" s="94" t="s">
        <v>95</v>
      </c>
      <c r="G184" s="95">
        <v>72.0</v>
      </c>
      <c r="H184" s="99"/>
      <c r="I184" s="97" t="str">
        <f t="shared" si="3"/>
        <v>Обед (работа)</v>
      </c>
      <c r="J184" s="97" t="s">
        <v>93</v>
      </c>
      <c r="K184" s="97" t="s">
        <v>94</v>
      </c>
      <c r="L184" s="97" t="s">
        <v>95</v>
      </c>
      <c r="M184" s="97" t="s">
        <v>92</v>
      </c>
      <c r="N184" s="97"/>
      <c r="O184" s="97"/>
      <c r="P184" s="97"/>
    </row>
    <row r="185">
      <c r="A185" s="92">
        <f t="shared" si="1"/>
        <v>2</v>
      </c>
      <c r="B185" s="92">
        <f t="shared" si="2"/>
        <v>2</v>
      </c>
      <c r="C185" s="93">
        <v>43157.0</v>
      </c>
      <c r="D185" s="94" t="s">
        <v>135</v>
      </c>
      <c r="E185" s="94" t="s">
        <v>18</v>
      </c>
      <c r="F185" s="94" t="s">
        <v>115</v>
      </c>
      <c r="G185" s="95">
        <v>300.0</v>
      </c>
      <c r="H185" s="99"/>
      <c r="I185" s="97" t="str">
        <f t="shared" si="3"/>
        <v>Родственники</v>
      </c>
      <c r="J185" s="97" t="s">
        <v>116</v>
      </c>
      <c r="K185" s="97" t="s">
        <v>115</v>
      </c>
      <c r="L185" s="97"/>
      <c r="M185" s="97"/>
      <c r="N185" s="97"/>
      <c r="O185" s="97"/>
      <c r="P185" s="97"/>
    </row>
    <row r="186">
      <c r="A186" s="92">
        <f t="shared" si="1"/>
        <v>3</v>
      </c>
      <c r="B186" s="92">
        <f t="shared" si="2"/>
        <v>2</v>
      </c>
      <c r="C186" s="93">
        <v>43158.0</v>
      </c>
      <c r="D186" s="94" t="s">
        <v>91</v>
      </c>
      <c r="E186" s="94" t="s">
        <v>15</v>
      </c>
      <c r="F186" s="94" t="s">
        <v>117</v>
      </c>
      <c r="G186" s="95">
        <v>242.0</v>
      </c>
      <c r="H186" s="99"/>
      <c r="I186" s="97" t="str">
        <f t="shared" si="3"/>
        <v>Обед (работа)</v>
      </c>
      <c r="J186" s="97" t="s">
        <v>93</v>
      </c>
      <c r="K186" s="97" t="s">
        <v>94</v>
      </c>
      <c r="L186" s="97" t="s">
        <v>95</v>
      </c>
      <c r="M186" s="97" t="s">
        <v>92</v>
      </c>
      <c r="N186" s="97"/>
      <c r="O186" s="97"/>
      <c r="P186" s="97"/>
    </row>
    <row r="187">
      <c r="A187" s="92">
        <f t="shared" si="1"/>
        <v>3</v>
      </c>
      <c r="B187" s="92">
        <f t="shared" si="2"/>
        <v>2</v>
      </c>
      <c r="C187" s="93">
        <v>43158.0</v>
      </c>
      <c r="D187" s="94" t="s">
        <v>93</v>
      </c>
      <c r="E187" s="94" t="s">
        <v>15</v>
      </c>
      <c r="F187" s="94" t="s">
        <v>93</v>
      </c>
      <c r="G187" s="95">
        <v>100.0</v>
      </c>
      <c r="H187" s="99"/>
      <c r="I187" s="97" t="str">
        <f t="shared" si="3"/>
        <v>Обед (работа)</v>
      </c>
      <c r="J187" s="97" t="s">
        <v>93</v>
      </c>
      <c r="K187" s="97" t="s">
        <v>94</v>
      </c>
      <c r="L187" s="97" t="s">
        <v>95</v>
      </c>
      <c r="M187" s="97" t="s">
        <v>92</v>
      </c>
      <c r="N187" s="97"/>
      <c r="O187" s="97"/>
      <c r="P187" s="97"/>
    </row>
    <row r="188">
      <c r="A188" s="92">
        <f t="shared" si="1"/>
        <v>4</v>
      </c>
      <c r="B188" s="92">
        <f t="shared" si="2"/>
        <v>2</v>
      </c>
      <c r="C188" s="93">
        <v>43159.0</v>
      </c>
      <c r="D188" s="94" t="s">
        <v>176</v>
      </c>
      <c r="E188" s="94" t="s">
        <v>18</v>
      </c>
      <c r="F188" s="94" t="s">
        <v>115</v>
      </c>
      <c r="G188" s="95" t="s">
        <v>177</v>
      </c>
      <c r="H188" s="99"/>
      <c r="I188" s="97" t="str">
        <f t="shared" si="3"/>
        <v>Родственники</v>
      </c>
      <c r="J188" s="97" t="s">
        <v>116</v>
      </c>
      <c r="K188" s="97" t="s">
        <v>115</v>
      </c>
      <c r="L188" s="97"/>
      <c r="M188" s="97"/>
      <c r="N188" s="97"/>
      <c r="O188" s="97"/>
      <c r="P188" s="97"/>
    </row>
    <row r="189">
      <c r="A189" s="92">
        <f t="shared" si="1"/>
        <v>4</v>
      </c>
      <c r="B189" s="92">
        <f t="shared" si="2"/>
        <v>2</v>
      </c>
      <c r="C189" s="93">
        <v>43159.0</v>
      </c>
      <c r="D189" s="94" t="s">
        <v>93</v>
      </c>
      <c r="E189" s="94" t="s">
        <v>15</v>
      </c>
      <c r="F189" s="94" t="s">
        <v>93</v>
      </c>
      <c r="G189" s="95">
        <v>224.0</v>
      </c>
      <c r="H189" s="99"/>
      <c r="I189" s="97" t="str">
        <f t="shared" si="3"/>
        <v>Обед (работа)</v>
      </c>
      <c r="J189" s="97" t="s">
        <v>93</v>
      </c>
      <c r="K189" s="97" t="s">
        <v>94</v>
      </c>
      <c r="L189" s="97" t="s">
        <v>95</v>
      </c>
      <c r="M189" s="97" t="s">
        <v>92</v>
      </c>
      <c r="N189" s="97"/>
      <c r="O189" s="97"/>
      <c r="P189" s="97"/>
    </row>
    <row r="190">
      <c r="A190" s="92">
        <f t="shared" si="1"/>
        <v>4</v>
      </c>
      <c r="B190" s="92">
        <f t="shared" si="2"/>
        <v>2</v>
      </c>
      <c r="C190" s="93">
        <v>43159.0</v>
      </c>
      <c r="D190" s="94" t="s">
        <v>113</v>
      </c>
      <c r="E190" s="94" t="s">
        <v>26</v>
      </c>
      <c r="F190" s="100"/>
      <c r="G190" s="95">
        <v>650.0</v>
      </c>
      <c r="H190" s="99"/>
      <c r="I190" s="97" t="str">
        <f t="shared" si="3"/>
        <v/>
      </c>
      <c r="J190" s="97"/>
      <c r="K190" s="97"/>
      <c r="L190" s="97"/>
      <c r="M190" s="97"/>
      <c r="N190" s="97"/>
      <c r="O190" s="97"/>
      <c r="P190" s="97"/>
    </row>
    <row r="191">
      <c r="A191" s="92">
        <f t="shared" si="1"/>
        <v>4</v>
      </c>
      <c r="B191" s="92">
        <f t="shared" si="2"/>
        <v>2</v>
      </c>
      <c r="C191" s="93">
        <v>43159.0</v>
      </c>
      <c r="D191" s="94" t="s">
        <v>178</v>
      </c>
      <c r="E191" s="94" t="s">
        <v>37</v>
      </c>
      <c r="F191" s="100"/>
      <c r="G191" s="95">
        <v>300.0</v>
      </c>
      <c r="H191" s="99"/>
      <c r="I191" s="97" t="str">
        <f t="shared" si="3"/>
        <v/>
      </c>
      <c r="J191" s="97"/>
      <c r="K191" s="97"/>
      <c r="L191" s="97"/>
      <c r="M191" s="97"/>
      <c r="N191" s="97"/>
      <c r="O191" s="97"/>
      <c r="P191" s="97"/>
    </row>
    <row r="192">
      <c r="A192" s="92">
        <f t="shared" si="1"/>
        <v>4</v>
      </c>
      <c r="B192" s="92">
        <f t="shared" si="2"/>
        <v>2</v>
      </c>
      <c r="C192" s="93">
        <v>43159.0</v>
      </c>
      <c r="D192" s="94" t="s">
        <v>146</v>
      </c>
      <c r="E192" s="94" t="s">
        <v>30</v>
      </c>
      <c r="F192" s="94" t="s">
        <v>89</v>
      </c>
      <c r="G192" s="95" t="s">
        <v>179</v>
      </c>
      <c r="H192" s="99"/>
      <c r="I192" s="97" t="str">
        <f t="shared" si="3"/>
        <v>Бар</v>
      </c>
      <c r="J192" s="97" t="s">
        <v>87</v>
      </c>
      <c r="K192" s="97" t="s">
        <v>88</v>
      </c>
      <c r="L192" s="97" t="s">
        <v>89</v>
      </c>
      <c r="M192" s="97" t="s">
        <v>90</v>
      </c>
      <c r="N192" s="97"/>
      <c r="O192" s="97"/>
      <c r="P192" s="97"/>
    </row>
    <row r="193">
      <c r="A193" s="92">
        <f t="shared" si="1"/>
        <v>5</v>
      </c>
      <c r="B193" s="92">
        <f t="shared" si="2"/>
        <v>3</v>
      </c>
      <c r="C193" s="93">
        <v>43160.0</v>
      </c>
      <c r="D193" s="94" t="s">
        <v>93</v>
      </c>
      <c r="E193" s="94" t="s">
        <v>15</v>
      </c>
      <c r="F193" s="94" t="s">
        <v>93</v>
      </c>
      <c r="G193" s="95">
        <v>260.0</v>
      </c>
      <c r="H193" s="99"/>
      <c r="I193" s="97" t="str">
        <f t="shared" si="3"/>
        <v>Обед (работа)</v>
      </c>
      <c r="J193" s="97" t="s">
        <v>93</v>
      </c>
      <c r="K193" s="97" t="s">
        <v>94</v>
      </c>
      <c r="L193" s="97" t="s">
        <v>95</v>
      </c>
      <c r="M193" s="97" t="s">
        <v>92</v>
      </c>
      <c r="N193" s="97"/>
      <c r="O193" s="97"/>
      <c r="P193" s="97"/>
    </row>
    <row r="194">
      <c r="A194" s="92">
        <f t="shared" si="1"/>
        <v>5</v>
      </c>
      <c r="B194" s="92">
        <f t="shared" si="2"/>
        <v>3</v>
      </c>
      <c r="C194" s="93">
        <v>43160.0</v>
      </c>
      <c r="D194" s="94" t="s">
        <v>91</v>
      </c>
      <c r="E194" s="94" t="s">
        <v>15</v>
      </c>
      <c r="F194" s="94" t="s">
        <v>117</v>
      </c>
      <c r="G194" s="95">
        <v>243.0</v>
      </c>
      <c r="H194" s="99"/>
      <c r="I194" s="97" t="str">
        <f t="shared" si="3"/>
        <v>Обед (работа)</v>
      </c>
      <c r="J194" s="97" t="s">
        <v>93</v>
      </c>
      <c r="K194" s="97" t="s">
        <v>94</v>
      </c>
      <c r="L194" s="97" t="s">
        <v>95</v>
      </c>
      <c r="M194" s="97" t="s">
        <v>92</v>
      </c>
      <c r="N194" s="97"/>
      <c r="O194" s="97"/>
      <c r="P194" s="97"/>
    </row>
    <row r="195">
      <c r="A195" s="92">
        <f t="shared" si="1"/>
        <v>5</v>
      </c>
      <c r="B195" s="92">
        <f t="shared" si="2"/>
        <v>3</v>
      </c>
      <c r="C195" s="93">
        <v>43160.0</v>
      </c>
      <c r="D195" s="94" t="s">
        <v>180</v>
      </c>
      <c r="E195" s="94" t="s">
        <v>15</v>
      </c>
      <c r="F195" s="94" t="s">
        <v>95</v>
      </c>
      <c r="G195" s="95">
        <v>211.0</v>
      </c>
      <c r="H195" s="99"/>
      <c r="I195" s="97" t="str">
        <f t="shared" si="3"/>
        <v>Обед (работа)</v>
      </c>
      <c r="J195" s="97" t="s">
        <v>93</v>
      </c>
      <c r="K195" s="97" t="s">
        <v>94</v>
      </c>
      <c r="L195" s="97" t="s">
        <v>95</v>
      </c>
      <c r="M195" s="97" t="s">
        <v>92</v>
      </c>
      <c r="N195" s="97"/>
      <c r="O195" s="97"/>
      <c r="P195" s="97"/>
    </row>
    <row r="196">
      <c r="A196" s="92">
        <f t="shared" si="1"/>
        <v>5</v>
      </c>
      <c r="B196" s="92">
        <f t="shared" si="2"/>
        <v>3</v>
      </c>
      <c r="C196" s="93">
        <v>43160.0</v>
      </c>
      <c r="D196" s="94" t="s">
        <v>181</v>
      </c>
      <c r="E196" s="94" t="s">
        <v>43</v>
      </c>
      <c r="F196" s="100"/>
      <c r="G196" s="95" t="s">
        <v>163</v>
      </c>
      <c r="H196" s="99"/>
      <c r="I196" s="97" t="str">
        <f t="shared" si="3"/>
        <v/>
      </c>
      <c r="J196" s="97"/>
      <c r="K196" s="97"/>
      <c r="L196" s="97"/>
      <c r="M196" s="97"/>
      <c r="N196" s="97"/>
      <c r="O196" s="97"/>
      <c r="P196" s="97"/>
    </row>
    <row r="197">
      <c r="A197" s="92">
        <f t="shared" si="1"/>
        <v>6</v>
      </c>
      <c r="B197" s="92">
        <f t="shared" si="2"/>
        <v>3</v>
      </c>
      <c r="C197" s="93">
        <v>43161.0</v>
      </c>
      <c r="D197" s="94" t="s">
        <v>80</v>
      </c>
      <c r="E197" s="94" t="s">
        <v>24</v>
      </c>
      <c r="F197" s="94" t="s">
        <v>80</v>
      </c>
      <c r="G197" s="95">
        <v>126.0</v>
      </c>
      <c r="H197" s="99"/>
      <c r="I197" s="97" t="str">
        <f t="shared" si="3"/>
        <v>Такси</v>
      </c>
      <c r="J197" s="97" t="s">
        <v>81</v>
      </c>
      <c r="K197" s="97" t="s">
        <v>82</v>
      </c>
      <c r="L197" s="97" t="s">
        <v>83</v>
      </c>
      <c r="M197" s="97" t="s">
        <v>84</v>
      </c>
      <c r="N197" s="97"/>
      <c r="O197" s="97"/>
      <c r="P197" s="97"/>
    </row>
    <row r="198">
      <c r="A198" s="92">
        <f t="shared" si="1"/>
        <v>6</v>
      </c>
      <c r="B198" s="92">
        <f t="shared" si="2"/>
        <v>3</v>
      </c>
      <c r="C198" s="93">
        <v>43161.0</v>
      </c>
      <c r="D198" s="94" t="s">
        <v>91</v>
      </c>
      <c r="E198" s="94" t="s">
        <v>15</v>
      </c>
      <c r="F198" s="94" t="s">
        <v>117</v>
      </c>
      <c r="G198" s="95">
        <v>241.0</v>
      </c>
      <c r="H198" s="99"/>
      <c r="I198" s="97" t="str">
        <f t="shared" si="3"/>
        <v>Обед (работа)</v>
      </c>
      <c r="J198" s="97" t="s">
        <v>93</v>
      </c>
      <c r="K198" s="97" t="s">
        <v>94</v>
      </c>
      <c r="L198" s="97" t="s">
        <v>95</v>
      </c>
      <c r="M198" s="97" t="s">
        <v>92</v>
      </c>
      <c r="N198" s="97"/>
      <c r="O198" s="97"/>
      <c r="P198" s="97"/>
    </row>
    <row r="199">
      <c r="A199" s="92">
        <f t="shared" si="1"/>
        <v>6</v>
      </c>
      <c r="B199" s="92">
        <f t="shared" si="2"/>
        <v>3</v>
      </c>
      <c r="C199" s="93">
        <v>43161.0</v>
      </c>
      <c r="D199" s="94" t="s">
        <v>182</v>
      </c>
      <c r="E199" s="94" t="s">
        <v>21</v>
      </c>
      <c r="F199" s="94" t="s">
        <v>102</v>
      </c>
      <c r="G199" s="95">
        <v>450.0</v>
      </c>
      <c r="H199" s="99"/>
      <c r="I199" s="97" t="str">
        <f t="shared" si="3"/>
        <v>Вино</v>
      </c>
      <c r="J199" s="97" t="s">
        <v>97</v>
      </c>
      <c r="K199" s="97" t="s">
        <v>98</v>
      </c>
      <c r="L199" s="97" t="s">
        <v>99</v>
      </c>
      <c r="M199" s="97" t="s">
        <v>100</v>
      </c>
      <c r="N199" s="97"/>
      <c r="O199" s="97"/>
      <c r="P199" s="97"/>
    </row>
    <row r="200">
      <c r="A200" s="92">
        <f t="shared" si="1"/>
        <v>7</v>
      </c>
      <c r="B200" s="92">
        <f t="shared" si="2"/>
        <v>3</v>
      </c>
      <c r="C200" s="93">
        <v>43162.0</v>
      </c>
      <c r="D200" s="94" t="s">
        <v>181</v>
      </c>
      <c r="E200" s="94" t="s">
        <v>43</v>
      </c>
      <c r="F200" s="100"/>
      <c r="G200" s="95" t="s">
        <v>163</v>
      </c>
      <c r="H200" s="99"/>
      <c r="I200" s="97" t="str">
        <f t="shared" si="3"/>
        <v/>
      </c>
      <c r="J200" s="97"/>
      <c r="K200" s="97"/>
      <c r="L200" s="97"/>
      <c r="M200" s="97"/>
      <c r="N200" s="97"/>
      <c r="O200" s="97"/>
      <c r="P200" s="97"/>
    </row>
    <row r="201">
      <c r="A201" s="92">
        <f t="shared" si="1"/>
        <v>7</v>
      </c>
      <c r="B201" s="92">
        <f t="shared" si="2"/>
        <v>3</v>
      </c>
      <c r="C201" s="93">
        <v>43162.0</v>
      </c>
      <c r="D201" s="94" t="s">
        <v>80</v>
      </c>
      <c r="E201" s="94" t="s">
        <v>24</v>
      </c>
      <c r="F201" s="94" t="s">
        <v>80</v>
      </c>
      <c r="G201" s="95">
        <v>239.0</v>
      </c>
      <c r="H201" s="99"/>
      <c r="I201" s="97" t="str">
        <f t="shared" si="3"/>
        <v>Такси</v>
      </c>
      <c r="J201" s="97" t="s">
        <v>81</v>
      </c>
      <c r="K201" s="97" t="s">
        <v>82</v>
      </c>
      <c r="L201" s="97" t="s">
        <v>83</v>
      </c>
      <c r="M201" s="97" t="s">
        <v>84</v>
      </c>
      <c r="N201" s="97"/>
      <c r="O201" s="97"/>
      <c r="P201" s="97"/>
    </row>
    <row r="202">
      <c r="A202" s="92">
        <f t="shared" si="1"/>
        <v>7</v>
      </c>
      <c r="B202" s="92">
        <f t="shared" si="2"/>
        <v>3</v>
      </c>
      <c r="C202" s="93">
        <v>43162.0</v>
      </c>
      <c r="D202" s="94" t="s">
        <v>154</v>
      </c>
      <c r="E202" s="94" t="s">
        <v>37</v>
      </c>
      <c r="F202" s="100"/>
      <c r="G202" s="95">
        <v>200.0</v>
      </c>
      <c r="H202" s="99"/>
      <c r="I202" s="97" t="str">
        <f t="shared" si="3"/>
        <v/>
      </c>
      <c r="J202" s="97"/>
      <c r="K202" s="97"/>
      <c r="L202" s="97"/>
      <c r="M202" s="97"/>
      <c r="N202" s="97"/>
      <c r="O202" s="97"/>
      <c r="P202" s="97"/>
    </row>
    <row r="203">
      <c r="A203" s="92">
        <f t="shared" si="1"/>
        <v>7</v>
      </c>
      <c r="B203" s="92">
        <f t="shared" si="2"/>
        <v>3</v>
      </c>
      <c r="C203" s="93">
        <v>43162.0</v>
      </c>
      <c r="D203" s="94" t="s">
        <v>183</v>
      </c>
      <c r="E203" s="94" t="s">
        <v>15</v>
      </c>
      <c r="F203" s="94" t="s">
        <v>95</v>
      </c>
      <c r="G203" s="95">
        <v>583.0</v>
      </c>
      <c r="H203" s="99"/>
      <c r="I203" s="97" t="str">
        <f t="shared" si="3"/>
        <v>Обед (работа)</v>
      </c>
      <c r="J203" s="97" t="s">
        <v>93</v>
      </c>
      <c r="K203" s="97" t="s">
        <v>94</v>
      </c>
      <c r="L203" s="97" t="s">
        <v>95</v>
      </c>
      <c r="M203" s="97" t="s">
        <v>92</v>
      </c>
      <c r="N203" s="97"/>
      <c r="O203" s="97"/>
      <c r="P203" s="97"/>
    </row>
    <row r="204">
      <c r="A204" s="92">
        <f t="shared" si="1"/>
        <v>1</v>
      </c>
      <c r="B204" s="92">
        <f t="shared" si="2"/>
        <v>3</v>
      </c>
      <c r="C204" s="93">
        <v>43163.0</v>
      </c>
      <c r="D204" s="94" t="s">
        <v>184</v>
      </c>
      <c r="E204" s="94" t="s">
        <v>34</v>
      </c>
      <c r="F204" s="100"/>
      <c r="G204" s="95">
        <v>355.0</v>
      </c>
      <c r="H204" s="99"/>
      <c r="I204" s="97" t="str">
        <f t="shared" si="3"/>
        <v/>
      </c>
      <c r="J204" s="97"/>
      <c r="K204" s="97"/>
      <c r="L204" s="97"/>
      <c r="M204" s="97"/>
      <c r="N204" s="97"/>
      <c r="O204" s="97"/>
      <c r="P204" s="97"/>
    </row>
    <row r="205">
      <c r="A205" s="92">
        <f t="shared" si="1"/>
        <v>1</v>
      </c>
      <c r="B205" s="92">
        <f t="shared" si="2"/>
        <v>3</v>
      </c>
      <c r="C205" s="93">
        <v>43163.0</v>
      </c>
      <c r="D205" s="94" t="s">
        <v>185</v>
      </c>
      <c r="E205" s="94" t="s">
        <v>37</v>
      </c>
      <c r="F205" s="100"/>
      <c r="G205" s="95">
        <v>205.0</v>
      </c>
      <c r="H205" s="99"/>
      <c r="I205" s="97" t="str">
        <f t="shared" si="3"/>
        <v/>
      </c>
      <c r="J205" s="97"/>
      <c r="K205" s="97"/>
      <c r="L205" s="97"/>
      <c r="M205" s="97"/>
      <c r="N205" s="97"/>
      <c r="O205" s="97"/>
      <c r="P205" s="97"/>
    </row>
    <row r="206">
      <c r="A206" s="92">
        <f t="shared" si="1"/>
        <v>1</v>
      </c>
      <c r="B206" s="92">
        <f t="shared" si="2"/>
        <v>3</v>
      </c>
      <c r="C206" s="93">
        <v>43163.0</v>
      </c>
      <c r="D206" s="94" t="s">
        <v>26</v>
      </c>
      <c r="E206" s="94" t="s">
        <v>26</v>
      </c>
      <c r="F206" s="100"/>
      <c r="G206" s="95" t="s">
        <v>186</v>
      </c>
      <c r="H206" s="99"/>
      <c r="I206" s="97" t="str">
        <f t="shared" si="3"/>
        <v/>
      </c>
      <c r="J206" s="97"/>
      <c r="K206" s="97"/>
      <c r="L206" s="97"/>
      <c r="M206" s="97"/>
      <c r="N206" s="97"/>
      <c r="O206" s="97"/>
      <c r="P206" s="97"/>
    </row>
    <row r="207">
      <c r="A207" s="92">
        <f t="shared" si="1"/>
        <v>1</v>
      </c>
      <c r="B207" s="92">
        <f t="shared" si="2"/>
        <v>3</v>
      </c>
      <c r="C207" s="93">
        <v>43163.0</v>
      </c>
      <c r="D207" s="94" t="s">
        <v>187</v>
      </c>
      <c r="E207" s="94" t="s">
        <v>26</v>
      </c>
      <c r="F207" s="100"/>
      <c r="G207" s="95">
        <v>269.0</v>
      </c>
      <c r="H207" s="99"/>
      <c r="I207" s="97" t="str">
        <f t="shared" si="3"/>
        <v/>
      </c>
      <c r="J207" s="97"/>
      <c r="K207" s="97"/>
      <c r="L207" s="97"/>
      <c r="M207" s="97"/>
      <c r="N207" s="97"/>
      <c r="O207" s="97"/>
      <c r="P207" s="97"/>
    </row>
    <row r="208">
      <c r="A208" s="92">
        <f t="shared" si="1"/>
        <v>2</v>
      </c>
      <c r="B208" s="92">
        <f t="shared" si="2"/>
        <v>3</v>
      </c>
      <c r="C208" s="93">
        <v>43164.0</v>
      </c>
      <c r="D208" s="94" t="s">
        <v>91</v>
      </c>
      <c r="E208" s="94" t="s">
        <v>15</v>
      </c>
      <c r="F208" s="94" t="s">
        <v>117</v>
      </c>
      <c r="G208" s="95">
        <v>445.0</v>
      </c>
      <c r="H208" s="99"/>
      <c r="I208" s="97" t="str">
        <f t="shared" si="3"/>
        <v>Обед (работа)</v>
      </c>
      <c r="J208" s="97" t="s">
        <v>93</v>
      </c>
      <c r="K208" s="97" t="s">
        <v>94</v>
      </c>
      <c r="L208" s="97" t="s">
        <v>95</v>
      </c>
      <c r="M208" s="97" t="s">
        <v>92</v>
      </c>
      <c r="N208" s="97"/>
      <c r="O208" s="97"/>
      <c r="P208" s="97"/>
    </row>
    <row r="209">
      <c r="A209" s="92">
        <f t="shared" si="1"/>
        <v>2</v>
      </c>
      <c r="B209" s="92">
        <f t="shared" si="2"/>
        <v>3</v>
      </c>
      <c r="C209" s="93">
        <v>43164.0</v>
      </c>
      <c r="D209" s="94" t="s">
        <v>154</v>
      </c>
      <c r="E209" s="94" t="s">
        <v>37</v>
      </c>
      <c r="F209" s="100"/>
      <c r="G209" s="95">
        <v>374.0</v>
      </c>
      <c r="H209" s="99"/>
      <c r="I209" s="97" t="str">
        <f t="shared" si="3"/>
        <v/>
      </c>
      <c r="J209" s="97"/>
      <c r="K209" s="97"/>
      <c r="L209" s="97"/>
      <c r="M209" s="97"/>
      <c r="N209" s="97"/>
      <c r="O209" s="97"/>
      <c r="P209" s="97"/>
    </row>
    <row r="210">
      <c r="A210" s="92">
        <f t="shared" si="1"/>
        <v>3</v>
      </c>
      <c r="B210" s="92">
        <f t="shared" si="2"/>
        <v>3</v>
      </c>
      <c r="C210" s="93">
        <v>43165.0</v>
      </c>
      <c r="D210" s="94" t="s">
        <v>80</v>
      </c>
      <c r="E210" s="94" t="s">
        <v>24</v>
      </c>
      <c r="F210" s="94" t="s">
        <v>80</v>
      </c>
      <c r="G210" s="95">
        <v>141.0</v>
      </c>
      <c r="H210" s="99"/>
      <c r="I210" s="97" t="str">
        <f t="shared" si="3"/>
        <v>Такси</v>
      </c>
      <c r="J210" s="97" t="s">
        <v>81</v>
      </c>
      <c r="K210" s="97" t="s">
        <v>82</v>
      </c>
      <c r="L210" s="97" t="s">
        <v>83</v>
      </c>
      <c r="M210" s="97" t="s">
        <v>84</v>
      </c>
      <c r="N210" s="97"/>
      <c r="O210" s="97"/>
      <c r="P210" s="97"/>
    </row>
    <row r="211">
      <c r="A211" s="92">
        <f t="shared" si="1"/>
        <v>3</v>
      </c>
      <c r="B211" s="92">
        <f t="shared" si="2"/>
        <v>3</v>
      </c>
      <c r="C211" s="93">
        <v>43165.0</v>
      </c>
      <c r="D211" s="94" t="s">
        <v>91</v>
      </c>
      <c r="E211" s="94" t="s">
        <v>15</v>
      </c>
      <c r="F211" s="94" t="s">
        <v>117</v>
      </c>
      <c r="G211" s="95">
        <v>270.0</v>
      </c>
      <c r="H211" s="99"/>
      <c r="I211" s="97" t="str">
        <f t="shared" si="3"/>
        <v>Обед (работа)</v>
      </c>
      <c r="J211" s="97" t="s">
        <v>93</v>
      </c>
      <c r="K211" s="97" t="s">
        <v>94</v>
      </c>
      <c r="L211" s="97" t="s">
        <v>95</v>
      </c>
      <c r="M211" s="97" t="s">
        <v>92</v>
      </c>
      <c r="N211" s="97"/>
      <c r="O211" s="97"/>
      <c r="P211" s="97"/>
    </row>
    <row r="212">
      <c r="A212" s="92">
        <f t="shared" si="1"/>
        <v>3</v>
      </c>
      <c r="B212" s="92">
        <f t="shared" si="2"/>
        <v>3</v>
      </c>
      <c r="C212" s="93">
        <v>43165.0</v>
      </c>
      <c r="D212" s="94" t="s">
        <v>97</v>
      </c>
      <c r="E212" s="94" t="s">
        <v>21</v>
      </c>
      <c r="F212" s="94" t="s">
        <v>97</v>
      </c>
      <c r="G212" s="95">
        <v>622.0</v>
      </c>
      <c r="H212" s="99"/>
      <c r="I212" s="97" t="str">
        <f t="shared" si="3"/>
        <v>Вино</v>
      </c>
      <c r="J212" s="97" t="s">
        <v>97</v>
      </c>
      <c r="K212" s="97" t="s">
        <v>98</v>
      </c>
      <c r="L212" s="97" t="s">
        <v>99</v>
      </c>
      <c r="M212" s="97" t="s">
        <v>100</v>
      </c>
      <c r="N212" s="97"/>
      <c r="O212" s="97"/>
      <c r="P212" s="97"/>
    </row>
    <row r="213">
      <c r="A213" s="92">
        <f t="shared" si="1"/>
        <v>3</v>
      </c>
      <c r="B213" s="92">
        <f t="shared" si="2"/>
        <v>3</v>
      </c>
      <c r="C213" s="93">
        <v>43165.0</v>
      </c>
      <c r="D213" s="94" t="s">
        <v>188</v>
      </c>
      <c r="E213" s="94" t="s">
        <v>30</v>
      </c>
      <c r="F213" s="94" t="s">
        <v>88</v>
      </c>
      <c r="G213" s="95">
        <v>980.0</v>
      </c>
      <c r="H213" s="99"/>
      <c r="I213" s="97" t="str">
        <f t="shared" si="3"/>
        <v>Бар</v>
      </c>
      <c r="J213" s="97" t="s">
        <v>87</v>
      </c>
      <c r="K213" s="97" t="s">
        <v>88</v>
      </c>
      <c r="L213" s="97" t="s">
        <v>89</v>
      </c>
      <c r="M213" s="97" t="s">
        <v>90</v>
      </c>
      <c r="N213" s="97"/>
      <c r="O213" s="97"/>
      <c r="P213" s="97"/>
    </row>
    <row r="214">
      <c r="A214" s="92">
        <f t="shared" si="1"/>
        <v>3</v>
      </c>
      <c r="B214" s="92">
        <f t="shared" si="2"/>
        <v>3</v>
      </c>
      <c r="C214" s="93">
        <v>43165.0</v>
      </c>
      <c r="D214" s="94" t="s">
        <v>189</v>
      </c>
      <c r="E214" s="94" t="s">
        <v>43</v>
      </c>
      <c r="F214" s="100"/>
      <c r="G214" s="95">
        <v>300.0</v>
      </c>
      <c r="H214" s="99"/>
      <c r="I214" s="97" t="str">
        <f t="shared" si="3"/>
        <v/>
      </c>
      <c r="J214" s="97"/>
      <c r="K214" s="97"/>
      <c r="L214" s="97"/>
      <c r="M214" s="97"/>
      <c r="N214" s="97"/>
      <c r="O214" s="97"/>
      <c r="P214" s="97"/>
    </row>
    <row r="215">
      <c r="A215" s="92">
        <f t="shared" si="1"/>
        <v>4</v>
      </c>
      <c r="B215" s="92">
        <f t="shared" si="2"/>
        <v>3</v>
      </c>
      <c r="C215" s="93">
        <v>43166.0</v>
      </c>
      <c r="D215" s="94" t="s">
        <v>80</v>
      </c>
      <c r="E215" s="94" t="s">
        <v>24</v>
      </c>
      <c r="F215" s="94" t="s">
        <v>80</v>
      </c>
      <c r="G215" s="95">
        <v>129.0</v>
      </c>
      <c r="H215" s="99"/>
      <c r="I215" s="97" t="str">
        <f t="shared" si="3"/>
        <v>Такси</v>
      </c>
      <c r="J215" s="97" t="s">
        <v>81</v>
      </c>
      <c r="K215" s="97" t="s">
        <v>82</v>
      </c>
      <c r="L215" s="97" t="s">
        <v>83</v>
      </c>
      <c r="M215" s="97" t="s">
        <v>84</v>
      </c>
      <c r="N215" s="97"/>
      <c r="O215" s="97"/>
      <c r="P215" s="97"/>
    </row>
    <row r="216">
      <c r="A216" s="92">
        <f t="shared" si="1"/>
        <v>4</v>
      </c>
      <c r="B216" s="92">
        <f t="shared" si="2"/>
        <v>3</v>
      </c>
      <c r="C216" s="93">
        <v>43166.0</v>
      </c>
      <c r="D216" s="94" t="s">
        <v>91</v>
      </c>
      <c r="E216" s="94" t="s">
        <v>15</v>
      </c>
      <c r="F216" s="94" t="s">
        <v>117</v>
      </c>
      <c r="G216" s="95">
        <v>250.0</v>
      </c>
      <c r="H216" s="99"/>
      <c r="I216" s="97" t="str">
        <f t="shared" si="3"/>
        <v>Обед (работа)</v>
      </c>
      <c r="J216" s="97" t="s">
        <v>93</v>
      </c>
      <c r="K216" s="97" t="s">
        <v>94</v>
      </c>
      <c r="L216" s="97" t="s">
        <v>95</v>
      </c>
      <c r="M216" s="97" t="s">
        <v>92</v>
      </c>
      <c r="N216" s="97"/>
      <c r="O216" s="97"/>
      <c r="P216" s="97"/>
    </row>
    <row r="217">
      <c r="A217" s="92">
        <f t="shared" si="1"/>
        <v>4</v>
      </c>
      <c r="B217" s="92">
        <f t="shared" si="2"/>
        <v>3</v>
      </c>
      <c r="C217" s="93">
        <v>43166.0</v>
      </c>
      <c r="D217" s="94" t="s">
        <v>190</v>
      </c>
      <c r="E217" s="94" t="s">
        <v>18</v>
      </c>
      <c r="F217" s="94" t="s">
        <v>120</v>
      </c>
      <c r="G217" s="95">
        <v>1000.0</v>
      </c>
      <c r="H217" s="99"/>
      <c r="I217" s="97" t="str">
        <f t="shared" si="3"/>
        <v>Родственники</v>
      </c>
      <c r="J217" s="97" t="s">
        <v>116</v>
      </c>
      <c r="K217" s="97" t="s">
        <v>115</v>
      </c>
      <c r="L217" s="97"/>
      <c r="M217" s="97"/>
      <c r="N217" s="97"/>
      <c r="O217" s="97"/>
      <c r="P217" s="97"/>
    </row>
    <row r="218">
      <c r="A218" s="92">
        <f t="shared" si="1"/>
        <v>4</v>
      </c>
      <c r="B218" s="92">
        <f t="shared" si="2"/>
        <v>3</v>
      </c>
      <c r="C218" s="93">
        <v>43166.0</v>
      </c>
      <c r="D218" s="94" t="s">
        <v>102</v>
      </c>
      <c r="E218" s="94" t="s">
        <v>21</v>
      </c>
      <c r="F218" s="94" t="s">
        <v>102</v>
      </c>
      <c r="G218" s="95">
        <v>450.0</v>
      </c>
      <c r="H218" s="99"/>
      <c r="I218" s="97" t="str">
        <f t="shared" si="3"/>
        <v>Вино</v>
      </c>
      <c r="J218" s="97" t="s">
        <v>97</v>
      </c>
      <c r="K218" s="97" t="s">
        <v>98</v>
      </c>
      <c r="L218" s="97" t="s">
        <v>99</v>
      </c>
      <c r="M218" s="97" t="s">
        <v>100</v>
      </c>
      <c r="N218" s="97"/>
      <c r="O218" s="97"/>
      <c r="P218" s="97"/>
    </row>
    <row r="219">
      <c r="A219" s="92">
        <f t="shared" si="1"/>
        <v>4</v>
      </c>
      <c r="B219" s="92">
        <f t="shared" si="2"/>
        <v>3</v>
      </c>
      <c r="C219" s="93">
        <v>43166.0</v>
      </c>
      <c r="D219" s="94" t="s">
        <v>26</v>
      </c>
      <c r="E219" s="94" t="s">
        <v>26</v>
      </c>
      <c r="F219" s="100"/>
      <c r="G219" s="95" t="s">
        <v>191</v>
      </c>
      <c r="H219" s="99"/>
      <c r="I219" s="97" t="str">
        <f t="shared" si="3"/>
        <v/>
      </c>
      <c r="J219" s="97"/>
      <c r="K219" s="97"/>
      <c r="L219" s="97"/>
      <c r="M219" s="97"/>
      <c r="N219" s="97"/>
      <c r="O219" s="97"/>
      <c r="P219" s="97"/>
    </row>
    <row r="220">
      <c r="A220" s="92">
        <f t="shared" si="1"/>
        <v>4</v>
      </c>
      <c r="B220" s="92">
        <f t="shared" si="2"/>
        <v>3</v>
      </c>
      <c r="C220" s="93">
        <v>43166.0</v>
      </c>
      <c r="D220" s="94" t="s">
        <v>97</v>
      </c>
      <c r="E220" s="94" t="s">
        <v>21</v>
      </c>
      <c r="F220" s="94" t="s">
        <v>97</v>
      </c>
      <c r="G220" s="95">
        <v>685.0</v>
      </c>
      <c r="H220" s="99"/>
      <c r="I220" s="97" t="str">
        <f t="shared" si="3"/>
        <v>Вино</v>
      </c>
      <c r="J220" s="97" t="s">
        <v>97</v>
      </c>
      <c r="K220" s="97" t="s">
        <v>98</v>
      </c>
      <c r="L220" s="97" t="s">
        <v>99</v>
      </c>
      <c r="M220" s="97" t="s">
        <v>100</v>
      </c>
      <c r="N220" s="97"/>
      <c r="O220" s="97"/>
      <c r="P220" s="97"/>
    </row>
    <row r="221">
      <c r="A221" s="92">
        <f t="shared" si="1"/>
        <v>5</v>
      </c>
      <c r="B221" s="92">
        <f t="shared" si="2"/>
        <v>3</v>
      </c>
      <c r="C221" s="93">
        <v>43167.0</v>
      </c>
      <c r="D221" s="94" t="s">
        <v>192</v>
      </c>
      <c r="E221" s="94" t="s">
        <v>18</v>
      </c>
      <c r="F221" s="94" t="s">
        <v>120</v>
      </c>
      <c r="G221" s="95" t="s">
        <v>193</v>
      </c>
      <c r="H221" s="99"/>
      <c r="I221" s="97" t="str">
        <f t="shared" si="3"/>
        <v>Родственники</v>
      </c>
      <c r="J221" s="97" t="s">
        <v>116</v>
      </c>
      <c r="K221" s="97" t="s">
        <v>115</v>
      </c>
      <c r="L221" s="97"/>
      <c r="M221" s="97"/>
      <c r="N221" s="97"/>
      <c r="O221" s="97"/>
      <c r="P221" s="97"/>
    </row>
    <row r="222">
      <c r="A222" s="92">
        <f t="shared" si="1"/>
        <v>5</v>
      </c>
      <c r="B222" s="92">
        <f t="shared" si="2"/>
        <v>3</v>
      </c>
      <c r="C222" s="93">
        <v>43167.0</v>
      </c>
      <c r="D222" s="94" t="s">
        <v>119</v>
      </c>
      <c r="E222" s="94" t="s">
        <v>18</v>
      </c>
      <c r="F222" s="94" t="s">
        <v>120</v>
      </c>
      <c r="G222" s="95" t="s">
        <v>194</v>
      </c>
      <c r="H222" s="99"/>
      <c r="I222" s="97" t="str">
        <f t="shared" si="3"/>
        <v>Родственники</v>
      </c>
      <c r="J222" s="97" t="s">
        <v>116</v>
      </c>
      <c r="K222" s="97" t="s">
        <v>115</v>
      </c>
      <c r="L222" s="97"/>
      <c r="M222" s="97"/>
      <c r="N222" s="97"/>
      <c r="O222" s="97"/>
      <c r="P222" s="97"/>
    </row>
    <row r="223">
      <c r="A223" s="92">
        <f t="shared" si="1"/>
        <v>5</v>
      </c>
      <c r="B223" s="92">
        <f t="shared" si="2"/>
        <v>3</v>
      </c>
      <c r="C223" s="93">
        <v>43167.0</v>
      </c>
      <c r="D223" s="94" t="s">
        <v>80</v>
      </c>
      <c r="E223" s="94" t="s">
        <v>24</v>
      </c>
      <c r="F223" s="94" t="s">
        <v>80</v>
      </c>
      <c r="G223" s="95">
        <v>200.0</v>
      </c>
      <c r="H223" s="99"/>
      <c r="I223" s="97" t="str">
        <f t="shared" si="3"/>
        <v>Такси</v>
      </c>
      <c r="J223" s="97" t="s">
        <v>81</v>
      </c>
      <c r="K223" s="97" t="s">
        <v>82</v>
      </c>
      <c r="L223" s="97" t="s">
        <v>83</v>
      </c>
      <c r="M223" s="97" t="s">
        <v>84</v>
      </c>
      <c r="N223" s="97"/>
      <c r="O223" s="97"/>
      <c r="P223" s="97"/>
    </row>
    <row r="224">
      <c r="A224" s="92">
        <f t="shared" si="1"/>
        <v>5</v>
      </c>
      <c r="B224" s="92">
        <f t="shared" si="2"/>
        <v>3</v>
      </c>
      <c r="C224" s="93">
        <v>43167.0</v>
      </c>
      <c r="D224" s="94" t="s">
        <v>113</v>
      </c>
      <c r="E224" s="94" t="s">
        <v>26</v>
      </c>
      <c r="F224" s="100"/>
      <c r="G224" s="95">
        <v>521.0</v>
      </c>
      <c r="H224" s="99"/>
      <c r="I224" s="97" t="str">
        <f t="shared" si="3"/>
        <v/>
      </c>
      <c r="J224" s="97"/>
      <c r="K224" s="97"/>
      <c r="L224" s="97"/>
      <c r="M224" s="97"/>
      <c r="N224" s="97"/>
      <c r="O224" s="97"/>
      <c r="P224" s="97"/>
    </row>
    <row r="225">
      <c r="A225" s="92">
        <f t="shared" si="1"/>
        <v>6</v>
      </c>
      <c r="B225" s="92">
        <f t="shared" si="2"/>
        <v>3</v>
      </c>
      <c r="C225" s="93">
        <v>43168.0</v>
      </c>
      <c r="D225" s="94" t="s">
        <v>118</v>
      </c>
      <c r="E225" s="94" t="s">
        <v>40</v>
      </c>
      <c r="F225" s="100"/>
      <c r="G225" s="95">
        <v>169.0</v>
      </c>
      <c r="H225" s="99"/>
      <c r="I225" s="97" t="str">
        <f t="shared" si="3"/>
        <v/>
      </c>
      <c r="J225" s="97"/>
      <c r="K225" s="97"/>
      <c r="L225" s="97"/>
      <c r="M225" s="97"/>
      <c r="N225" s="97"/>
      <c r="O225" s="97"/>
      <c r="P225" s="97"/>
    </row>
    <row r="226">
      <c r="A226" s="92">
        <f t="shared" si="1"/>
        <v>6</v>
      </c>
      <c r="B226" s="92">
        <f t="shared" si="2"/>
        <v>3</v>
      </c>
      <c r="C226" s="93">
        <v>43168.0</v>
      </c>
      <c r="D226" s="94" t="s">
        <v>195</v>
      </c>
      <c r="E226" s="94" t="s">
        <v>46</v>
      </c>
      <c r="F226" s="100"/>
      <c r="G226" s="95">
        <v>160.0</v>
      </c>
      <c r="H226" s="99"/>
      <c r="I226" s="97" t="str">
        <f t="shared" si="3"/>
        <v/>
      </c>
      <c r="J226" s="97"/>
      <c r="K226" s="97"/>
      <c r="L226" s="97"/>
      <c r="M226" s="97"/>
      <c r="N226" s="97"/>
      <c r="O226" s="97"/>
      <c r="P226" s="97"/>
    </row>
    <row r="227">
      <c r="A227" s="92">
        <f t="shared" si="1"/>
        <v>6</v>
      </c>
      <c r="B227" s="92">
        <f t="shared" si="2"/>
        <v>3</v>
      </c>
      <c r="C227" s="93">
        <v>43168.0</v>
      </c>
      <c r="D227" s="94" t="s">
        <v>102</v>
      </c>
      <c r="E227" s="94" t="s">
        <v>21</v>
      </c>
      <c r="F227" s="94" t="s">
        <v>102</v>
      </c>
      <c r="G227" s="95">
        <v>400.0</v>
      </c>
      <c r="H227" s="99"/>
      <c r="I227" s="97" t="str">
        <f t="shared" si="3"/>
        <v>Вино</v>
      </c>
      <c r="J227" s="97" t="s">
        <v>97</v>
      </c>
      <c r="K227" s="97" t="s">
        <v>98</v>
      </c>
      <c r="L227" s="97" t="s">
        <v>99</v>
      </c>
      <c r="M227" s="97" t="s">
        <v>100</v>
      </c>
      <c r="N227" s="97"/>
      <c r="O227" s="97"/>
      <c r="P227" s="97"/>
    </row>
    <row r="228">
      <c r="A228" s="92">
        <f t="shared" si="1"/>
        <v>6</v>
      </c>
      <c r="B228" s="92">
        <f t="shared" si="2"/>
        <v>3</v>
      </c>
      <c r="C228" s="93">
        <v>43168.0</v>
      </c>
      <c r="D228" s="94" t="s">
        <v>196</v>
      </c>
      <c r="E228" s="94" t="s">
        <v>37</v>
      </c>
      <c r="F228" s="100"/>
      <c r="G228" s="95">
        <v>370.0</v>
      </c>
      <c r="H228" s="99"/>
      <c r="I228" s="97" t="str">
        <f t="shared" si="3"/>
        <v/>
      </c>
      <c r="J228" s="97"/>
      <c r="K228" s="97"/>
      <c r="L228" s="97"/>
      <c r="M228" s="97"/>
      <c r="N228" s="97"/>
      <c r="O228" s="97"/>
      <c r="P228" s="97"/>
    </row>
    <row r="229">
      <c r="A229" s="92">
        <f t="shared" si="1"/>
        <v>6</v>
      </c>
      <c r="B229" s="92">
        <f t="shared" si="2"/>
        <v>3</v>
      </c>
      <c r="C229" s="93">
        <v>43168.0</v>
      </c>
      <c r="D229" s="94" t="s">
        <v>26</v>
      </c>
      <c r="E229" s="94" t="s">
        <v>26</v>
      </c>
      <c r="F229" s="100"/>
      <c r="G229" s="95" t="s">
        <v>197</v>
      </c>
      <c r="H229" s="99"/>
      <c r="I229" s="97" t="str">
        <f t="shared" si="3"/>
        <v/>
      </c>
      <c r="J229" s="97"/>
      <c r="K229" s="97"/>
      <c r="L229" s="97"/>
      <c r="M229" s="97"/>
      <c r="N229" s="97"/>
      <c r="O229" s="97"/>
      <c r="P229" s="97"/>
    </row>
    <row r="230">
      <c r="A230" s="92">
        <f t="shared" si="1"/>
        <v>6</v>
      </c>
      <c r="B230" s="92">
        <f t="shared" si="2"/>
        <v>3</v>
      </c>
      <c r="C230" s="93">
        <v>43168.0</v>
      </c>
      <c r="D230" s="94" t="s">
        <v>198</v>
      </c>
      <c r="E230" s="94" t="s">
        <v>30</v>
      </c>
      <c r="F230" s="94" t="s">
        <v>87</v>
      </c>
      <c r="G230" s="95" t="s">
        <v>199</v>
      </c>
      <c r="H230" s="99"/>
      <c r="I230" s="97" t="str">
        <f t="shared" si="3"/>
        <v>Бар</v>
      </c>
      <c r="J230" s="97" t="s">
        <v>87</v>
      </c>
      <c r="K230" s="97" t="s">
        <v>88</v>
      </c>
      <c r="L230" s="97" t="s">
        <v>89</v>
      </c>
      <c r="M230" s="97" t="s">
        <v>90</v>
      </c>
      <c r="N230" s="97"/>
      <c r="O230" s="97"/>
      <c r="P230" s="97"/>
    </row>
    <row r="231">
      <c r="A231" s="92">
        <f t="shared" si="1"/>
        <v>6</v>
      </c>
      <c r="B231" s="92">
        <f t="shared" si="2"/>
        <v>3</v>
      </c>
      <c r="C231" s="93">
        <v>43168.0</v>
      </c>
      <c r="D231" s="94" t="s">
        <v>80</v>
      </c>
      <c r="E231" s="94" t="s">
        <v>24</v>
      </c>
      <c r="F231" s="94" t="s">
        <v>80</v>
      </c>
      <c r="G231" s="95">
        <v>194.0</v>
      </c>
      <c r="H231" s="99"/>
      <c r="I231" s="97" t="str">
        <f t="shared" si="3"/>
        <v>Такси</v>
      </c>
      <c r="J231" s="97" t="s">
        <v>81</v>
      </c>
      <c r="K231" s="97" t="s">
        <v>82</v>
      </c>
      <c r="L231" s="97" t="s">
        <v>83</v>
      </c>
      <c r="M231" s="97" t="s">
        <v>84</v>
      </c>
      <c r="N231" s="97"/>
      <c r="O231" s="97"/>
      <c r="P231" s="97"/>
    </row>
    <row r="232">
      <c r="A232" s="92">
        <f t="shared" si="1"/>
        <v>7</v>
      </c>
      <c r="B232" s="92">
        <f t="shared" si="2"/>
        <v>3</v>
      </c>
      <c r="C232" s="93">
        <v>43169.0</v>
      </c>
      <c r="D232" s="94" t="s">
        <v>102</v>
      </c>
      <c r="E232" s="94" t="s">
        <v>21</v>
      </c>
      <c r="F232" s="94" t="s">
        <v>102</v>
      </c>
      <c r="G232" s="95">
        <v>790.0</v>
      </c>
      <c r="H232" s="99"/>
      <c r="I232" s="97" t="str">
        <f t="shared" si="3"/>
        <v>Вино</v>
      </c>
      <c r="J232" s="97" t="s">
        <v>97</v>
      </c>
      <c r="K232" s="97" t="s">
        <v>98</v>
      </c>
      <c r="L232" s="97" t="s">
        <v>99</v>
      </c>
      <c r="M232" s="97" t="s">
        <v>100</v>
      </c>
      <c r="N232" s="97"/>
      <c r="O232" s="97"/>
      <c r="P232" s="97"/>
    </row>
    <row r="233">
      <c r="A233" s="92">
        <f t="shared" si="1"/>
        <v>7</v>
      </c>
      <c r="B233" s="92">
        <f t="shared" si="2"/>
        <v>3</v>
      </c>
      <c r="C233" s="93">
        <v>43169.0</v>
      </c>
      <c r="D233" s="94" t="s">
        <v>26</v>
      </c>
      <c r="E233" s="94" t="s">
        <v>26</v>
      </c>
      <c r="F233" s="100"/>
      <c r="G233" s="95" t="s">
        <v>147</v>
      </c>
      <c r="H233" s="99"/>
      <c r="I233" s="97" t="str">
        <f t="shared" si="3"/>
        <v/>
      </c>
      <c r="J233" s="97"/>
      <c r="K233" s="97"/>
      <c r="L233" s="97"/>
      <c r="M233" s="97"/>
      <c r="N233" s="97"/>
      <c r="O233" s="97"/>
      <c r="P233" s="97"/>
    </row>
    <row r="234">
      <c r="A234" s="92">
        <f t="shared" si="1"/>
        <v>7</v>
      </c>
      <c r="B234" s="92">
        <f t="shared" si="2"/>
        <v>3</v>
      </c>
      <c r="C234" s="93">
        <v>43169.0</v>
      </c>
      <c r="D234" s="94" t="s">
        <v>200</v>
      </c>
      <c r="E234" s="94" t="s">
        <v>15</v>
      </c>
      <c r="F234" s="94" t="s">
        <v>95</v>
      </c>
      <c r="G234" s="95">
        <v>612.0</v>
      </c>
      <c r="H234" s="99"/>
      <c r="I234" s="97" t="str">
        <f t="shared" si="3"/>
        <v>Обед (работа)</v>
      </c>
      <c r="J234" s="97" t="s">
        <v>93</v>
      </c>
      <c r="K234" s="97" t="s">
        <v>94</v>
      </c>
      <c r="L234" s="97" t="s">
        <v>95</v>
      </c>
      <c r="M234" s="97" t="s">
        <v>92</v>
      </c>
      <c r="N234" s="97"/>
      <c r="O234" s="97"/>
      <c r="P234" s="97"/>
    </row>
    <row r="235">
      <c r="A235" s="92">
        <f t="shared" si="1"/>
        <v>7</v>
      </c>
      <c r="B235" s="92">
        <f t="shared" si="2"/>
        <v>3</v>
      </c>
      <c r="C235" s="93">
        <v>43169.0</v>
      </c>
      <c r="D235" s="94" t="s">
        <v>80</v>
      </c>
      <c r="E235" s="94" t="s">
        <v>24</v>
      </c>
      <c r="F235" s="94" t="s">
        <v>80</v>
      </c>
      <c r="G235" s="95">
        <v>136.0</v>
      </c>
      <c r="H235" s="99"/>
      <c r="I235" s="97" t="str">
        <f t="shared" si="3"/>
        <v>Такси</v>
      </c>
      <c r="J235" s="97" t="s">
        <v>81</v>
      </c>
      <c r="K235" s="97" t="s">
        <v>82</v>
      </c>
      <c r="L235" s="97" t="s">
        <v>83</v>
      </c>
      <c r="M235" s="97" t="s">
        <v>84</v>
      </c>
      <c r="N235" s="97"/>
      <c r="O235" s="97"/>
      <c r="P235" s="97"/>
    </row>
    <row r="236">
      <c r="A236" s="92">
        <f t="shared" si="1"/>
        <v>1</v>
      </c>
      <c r="B236" s="92">
        <f t="shared" si="2"/>
        <v>3</v>
      </c>
      <c r="C236" s="93">
        <v>43170.0</v>
      </c>
      <c r="D236" s="94" t="s">
        <v>80</v>
      </c>
      <c r="E236" s="94" t="s">
        <v>24</v>
      </c>
      <c r="F236" s="94" t="s">
        <v>80</v>
      </c>
      <c r="G236" s="95">
        <v>150.0</v>
      </c>
      <c r="H236" s="99"/>
      <c r="I236" s="97" t="str">
        <f t="shared" si="3"/>
        <v>Такси</v>
      </c>
      <c r="J236" s="97" t="s">
        <v>81</v>
      </c>
      <c r="K236" s="97" t="s">
        <v>82</v>
      </c>
      <c r="L236" s="97" t="s">
        <v>83</v>
      </c>
      <c r="M236" s="97" t="s">
        <v>84</v>
      </c>
      <c r="N236" s="97"/>
      <c r="O236" s="97"/>
      <c r="P236" s="97"/>
    </row>
    <row r="237">
      <c r="A237" s="92">
        <f t="shared" si="1"/>
        <v>1</v>
      </c>
      <c r="B237" s="92">
        <f t="shared" si="2"/>
        <v>3</v>
      </c>
      <c r="C237" s="93">
        <v>43170.0</v>
      </c>
      <c r="D237" s="94" t="s">
        <v>135</v>
      </c>
      <c r="E237" s="94" t="s">
        <v>18</v>
      </c>
      <c r="F237" s="94" t="s">
        <v>120</v>
      </c>
      <c r="G237" s="95" t="s">
        <v>151</v>
      </c>
      <c r="H237" s="99"/>
      <c r="I237" s="97" t="str">
        <f t="shared" si="3"/>
        <v>Родственники</v>
      </c>
      <c r="J237" s="97" t="s">
        <v>116</v>
      </c>
      <c r="K237" s="97" t="s">
        <v>115</v>
      </c>
      <c r="L237" s="97"/>
      <c r="M237" s="97"/>
      <c r="N237" s="97"/>
      <c r="O237" s="97"/>
      <c r="P237" s="97"/>
    </row>
    <row r="238">
      <c r="A238" s="92">
        <f t="shared" si="1"/>
        <v>1</v>
      </c>
      <c r="B238" s="92">
        <f t="shared" si="2"/>
        <v>3</v>
      </c>
      <c r="C238" s="93">
        <v>43170.0</v>
      </c>
      <c r="D238" s="94" t="s">
        <v>80</v>
      </c>
      <c r="E238" s="94" t="s">
        <v>24</v>
      </c>
      <c r="F238" s="94" t="s">
        <v>80</v>
      </c>
      <c r="G238" s="95">
        <v>166.0</v>
      </c>
      <c r="H238" s="99"/>
      <c r="I238" s="97" t="str">
        <f t="shared" si="3"/>
        <v>Такси</v>
      </c>
      <c r="J238" s="97" t="s">
        <v>81</v>
      </c>
      <c r="K238" s="97" t="s">
        <v>82</v>
      </c>
      <c r="L238" s="97" t="s">
        <v>83</v>
      </c>
      <c r="M238" s="97" t="s">
        <v>84</v>
      </c>
      <c r="N238" s="97"/>
      <c r="O238" s="97"/>
      <c r="P238" s="97"/>
    </row>
    <row r="239">
      <c r="A239" s="92">
        <f t="shared" si="1"/>
        <v>1</v>
      </c>
      <c r="B239" s="92">
        <f t="shared" si="2"/>
        <v>3</v>
      </c>
      <c r="C239" s="93">
        <v>43170.0</v>
      </c>
      <c r="D239" s="94" t="s">
        <v>26</v>
      </c>
      <c r="E239" s="94" t="s">
        <v>26</v>
      </c>
      <c r="F239" s="100"/>
      <c r="G239" s="95">
        <v>140.0</v>
      </c>
      <c r="H239" s="99"/>
      <c r="I239" s="97" t="str">
        <f t="shared" si="3"/>
        <v/>
      </c>
      <c r="J239" s="97"/>
      <c r="K239" s="97"/>
      <c r="L239" s="97"/>
      <c r="M239" s="97"/>
      <c r="N239" s="97"/>
      <c r="O239" s="97"/>
      <c r="P239" s="97"/>
    </row>
    <row r="240">
      <c r="A240" s="92">
        <f t="shared" si="1"/>
        <v>1</v>
      </c>
      <c r="B240" s="92">
        <f t="shared" si="2"/>
        <v>3</v>
      </c>
      <c r="C240" s="93">
        <v>43170.0</v>
      </c>
      <c r="D240" s="94" t="s">
        <v>201</v>
      </c>
      <c r="E240" s="94" t="s">
        <v>37</v>
      </c>
      <c r="F240" s="100"/>
      <c r="G240" s="95">
        <v>600.0</v>
      </c>
      <c r="H240" s="99"/>
      <c r="I240" s="97" t="str">
        <f t="shared" si="3"/>
        <v/>
      </c>
      <c r="J240" s="97"/>
      <c r="K240" s="97"/>
      <c r="L240" s="97"/>
      <c r="M240" s="97"/>
      <c r="N240" s="97"/>
      <c r="O240" s="97"/>
      <c r="P240" s="97"/>
    </row>
    <row r="241">
      <c r="A241" s="92">
        <f t="shared" si="1"/>
        <v>2</v>
      </c>
      <c r="B241" s="92">
        <f t="shared" si="2"/>
        <v>3</v>
      </c>
      <c r="C241" s="93">
        <v>43171.0</v>
      </c>
      <c r="D241" s="94" t="s">
        <v>91</v>
      </c>
      <c r="E241" s="94" t="s">
        <v>15</v>
      </c>
      <c r="F241" s="94" t="s">
        <v>117</v>
      </c>
      <c r="G241" s="95">
        <v>360.0</v>
      </c>
      <c r="H241" s="99"/>
      <c r="I241" s="97" t="str">
        <f t="shared" si="3"/>
        <v>Обед (работа)</v>
      </c>
      <c r="J241" s="97" t="s">
        <v>93</v>
      </c>
      <c r="K241" s="97" t="s">
        <v>94</v>
      </c>
      <c r="L241" s="97" t="s">
        <v>95</v>
      </c>
      <c r="M241" s="97" t="s">
        <v>92</v>
      </c>
      <c r="N241" s="97"/>
      <c r="O241" s="97"/>
      <c r="P241" s="97"/>
    </row>
    <row r="242">
      <c r="A242" s="92">
        <f t="shared" si="1"/>
        <v>2</v>
      </c>
      <c r="B242" s="92">
        <f t="shared" si="2"/>
        <v>3</v>
      </c>
      <c r="C242" s="93">
        <v>43171.0</v>
      </c>
      <c r="D242" s="94" t="s">
        <v>26</v>
      </c>
      <c r="E242" s="94" t="s">
        <v>26</v>
      </c>
      <c r="F242" s="100"/>
      <c r="G242" s="95">
        <v>166.0</v>
      </c>
      <c r="H242" s="99"/>
      <c r="I242" s="97" t="str">
        <f t="shared" si="3"/>
        <v/>
      </c>
      <c r="J242" s="97"/>
      <c r="K242" s="97"/>
      <c r="L242" s="97"/>
      <c r="M242" s="97"/>
      <c r="N242" s="97"/>
      <c r="O242" s="97"/>
      <c r="P242" s="97"/>
    </row>
    <row r="243">
      <c r="A243" s="92">
        <f t="shared" si="1"/>
        <v>2</v>
      </c>
      <c r="B243" s="92">
        <f t="shared" si="2"/>
        <v>3</v>
      </c>
      <c r="C243" s="93">
        <v>43171.0</v>
      </c>
      <c r="D243" s="94" t="s">
        <v>138</v>
      </c>
      <c r="E243" s="94" t="s">
        <v>24</v>
      </c>
      <c r="F243" s="94" t="s">
        <v>82</v>
      </c>
      <c r="G243" s="95">
        <v>100.0</v>
      </c>
      <c r="H243" s="99"/>
      <c r="I243" s="97" t="str">
        <f t="shared" si="3"/>
        <v>Такси</v>
      </c>
      <c r="J243" s="97" t="s">
        <v>81</v>
      </c>
      <c r="K243" s="97" t="s">
        <v>82</v>
      </c>
      <c r="L243" s="97" t="s">
        <v>83</v>
      </c>
      <c r="M243" s="97" t="s">
        <v>84</v>
      </c>
      <c r="N243" s="97"/>
      <c r="O243" s="97"/>
      <c r="P243" s="97"/>
    </row>
    <row r="244">
      <c r="A244" s="92">
        <f t="shared" si="1"/>
        <v>3</v>
      </c>
      <c r="B244" s="92">
        <f t="shared" si="2"/>
        <v>3</v>
      </c>
      <c r="C244" s="93">
        <v>43172.0</v>
      </c>
      <c r="D244" s="94" t="s">
        <v>80</v>
      </c>
      <c r="E244" s="94" t="s">
        <v>24</v>
      </c>
      <c r="F244" s="94" t="s">
        <v>80</v>
      </c>
      <c r="G244" s="95">
        <v>128.0</v>
      </c>
      <c r="H244" s="99"/>
      <c r="I244" s="97" t="str">
        <f t="shared" si="3"/>
        <v>Такси</v>
      </c>
      <c r="J244" s="97" t="s">
        <v>81</v>
      </c>
      <c r="K244" s="97" t="s">
        <v>82</v>
      </c>
      <c r="L244" s="97" t="s">
        <v>83</v>
      </c>
      <c r="M244" s="97" t="s">
        <v>84</v>
      </c>
      <c r="N244" s="97"/>
      <c r="O244" s="97"/>
      <c r="P244" s="97"/>
    </row>
    <row r="245">
      <c r="A245" s="92">
        <f t="shared" si="1"/>
        <v>3</v>
      </c>
      <c r="B245" s="92">
        <f t="shared" si="2"/>
        <v>3</v>
      </c>
      <c r="C245" s="93">
        <v>43172.0</v>
      </c>
      <c r="D245" s="94" t="s">
        <v>91</v>
      </c>
      <c r="E245" s="94" t="s">
        <v>15</v>
      </c>
      <c r="F245" s="94" t="s">
        <v>117</v>
      </c>
      <c r="G245" s="95">
        <v>377.0</v>
      </c>
      <c r="H245" s="99"/>
      <c r="I245" s="97" t="str">
        <f t="shared" si="3"/>
        <v>Обед (работа)</v>
      </c>
      <c r="J245" s="97" t="s">
        <v>93</v>
      </c>
      <c r="K245" s="97" t="s">
        <v>94</v>
      </c>
      <c r="L245" s="97" t="s">
        <v>95</v>
      </c>
      <c r="M245" s="97" t="s">
        <v>92</v>
      </c>
      <c r="N245" s="97"/>
      <c r="O245" s="97"/>
      <c r="P245" s="97"/>
    </row>
    <row r="246">
      <c r="A246" s="92">
        <f t="shared" si="1"/>
        <v>3</v>
      </c>
      <c r="B246" s="92">
        <f t="shared" si="2"/>
        <v>3</v>
      </c>
      <c r="C246" s="93">
        <v>43172.0</v>
      </c>
      <c r="D246" s="94" t="s">
        <v>26</v>
      </c>
      <c r="E246" s="94" t="s">
        <v>26</v>
      </c>
      <c r="F246" s="100"/>
      <c r="G246" s="95">
        <v>1600.0</v>
      </c>
      <c r="H246" s="99"/>
      <c r="I246" s="97" t="str">
        <f t="shared" si="3"/>
        <v/>
      </c>
      <c r="J246" s="97"/>
      <c r="K246" s="97"/>
      <c r="L246" s="97"/>
      <c r="M246" s="97"/>
      <c r="N246" s="97"/>
      <c r="O246" s="97"/>
      <c r="P246" s="97"/>
    </row>
    <row r="247">
      <c r="A247" s="92">
        <f t="shared" si="1"/>
        <v>4</v>
      </c>
      <c r="B247" s="92">
        <f t="shared" si="2"/>
        <v>3</v>
      </c>
      <c r="C247" s="93">
        <v>43173.0</v>
      </c>
      <c r="D247" s="94" t="s">
        <v>91</v>
      </c>
      <c r="E247" s="94" t="s">
        <v>15</v>
      </c>
      <c r="F247" s="94" t="s">
        <v>117</v>
      </c>
      <c r="G247" s="95">
        <v>289.0</v>
      </c>
      <c r="H247" s="99"/>
      <c r="I247" s="97" t="str">
        <f t="shared" si="3"/>
        <v>Обед (работа)</v>
      </c>
      <c r="J247" s="97" t="s">
        <v>93</v>
      </c>
      <c r="K247" s="97" t="s">
        <v>94</v>
      </c>
      <c r="L247" s="97" t="s">
        <v>95</v>
      </c>
      <c r="M247" s="97" t="s">
        <v>92</v>
      </c>
      <c r="N247" s="97"/>
      <c r="O247" s="97"/>
      <c r="P247" s="97"/>
    </row>
    <row r="248">
      <c r="A248" s="92">
        <f t="shared" si="1"/>
        <v>4</v>
      </c>
      <c r="B248" s="92">
        <f t="shared" si="2"/>
        <v>3</v>
      </c>
      <c r="C248" s="93">
        <v>43173.0</v>
      </c>
      <c r="D248" s="94" t="s">
        <v>95</v>
      </c>
      <c r="E248" s="94" t="s">
        <v>15</v>
      </c>
      <c r="F248" s="94" t="s">
        <v>95</v>
      </c>
      <c r="G248" s="95">
        <v>102.0</v>
      </c>
      <c r="H248" s="99"/>
      <c r="I248" s="97" t="str">
        <f t="shared" si="3"/>
        <v>Обед (работа)</v>
      </c>
      <c r="J248" s="97" t="s">
        <v>93</v>
      </c>
      <c r="K248" s="97" t="s">
        <v>94</v>
      </c>
      <c r="L248" s="97" t="s">
        <v>95</v>
      </c>
      <c r="M248" s="97" t="s">
        <v>92</v>
      </c>
      <c r="N248" s="97"/>
      <c r="O248" s="97"/>
      <c r="P248" s="97"/>
    </row>
    <row r="249">
      <c r="A249" s="92">
        <f t="shared" si="1"/>
        <v>5</v>
      </c>
      <c r="B249" s="92">
        <f t="shared" si="2"/>
        <v>3</v>
      </c>
      <c r="C249" s="93">
        <v>43174.0</v>
      </c>
      <c r="D249" s="94" t="s">
        <v>43</v>
      </c>
      <c r="E249" s="94" t="s">
        <v>43</v>
      </c>
      <c r="F249" s="100"/>
      <c r="G249" s="95">
        <v>100.0</v>
      </c>
      <c r="H249" s="99"/>
      <c r="I249" s="97" t="str">
        <f t="shared" si="3"/>
        <v/>
      </c>
      <c r="J249" s="97"/>
      <c r="K249" s="97"/>
      <c r="L249" s="97"/>
      <c r="M249" s="97"/>
      <c r="N249" s="97"/>
      <c r="O249" s="97"/>
      <c r="P249" s="97"/>
    </row>
    <row r="250">
      <c r="A250" s="92">
        <f t="shared" si="1"/>
        <v>5</v>
      </c>
      <c r="B250" s="92">
        <f t="shared" si="2"/>
        <v>3</v>
      </c>
      <c r="C250" s="93">
        <v>43174.0</v>
      </c>
      <c r="D250" s="94" t="s">
        <v>91</v>
      </c>
      <c r="E250" s="94" t="s">
        <v>15</v>
      </c>
      <c r="F250" s="94" t="s">
        <v>117</v>
      </c>
      <c r="G250" s="95">
        <v>394.0</v>
      </c>
      <c r="H250" s="99"/>
      <c r="I250" s="97" t="str">
        <f t="shared" si="3"/>
        <v>Обед (работа)</v>
      </c>
      <c r="J250" s="97" t="s">
        <v>93</v>
      </c>
      <c r="K250" s="97" t="s">
        <v>94</v>
      </c>
      <c r="L250" s="97" t="s">
        <v>95</v>
      </c>
      <c r="M250" s="97" t="s">
        <v>92</v>
      </c>
      <c r="N250" s="97"/>
      <c r="O250" s="97"/>
      <c r="P250" s="97"/>
    </row>
    <row r="251">
      <c r="A251" s="92">
        <f t="shared" si="1"/>
        <v>5</v>
      </c>
      <c r="B251" s="92">
        <f t="shared" si="2"/>
        <v>3</v>
      </c>
      <c r="C251" s="93">
        <v>43174.0</v>
      </c>
      <c r="D251" s="94" t="s">
        <v>93</v>
      </c>
      <c r="E251" s="94" t="s">
        <v>15</v>
      </c>
      <c r="F251" s="94" t="s">
        <v>93</v>
      </c>
      <c r="G251" s="95">
        <v>168.0</v>
      </c>
      <c r="H251" s="99"/>
      <c r="I251" s="97" t="str">
        <f t="shared" si="3"/>
        <v>Обед (работа)</v>
      </c>
      <c r="J251" s="97" t="s">
        <v>93</v>
      </c>
      <c r="K251" s="97" t="s">
        <v>94</v>
      </c>
      <c r="L251" s="97" t="s">
        <v>95</v>
      </c>
      <c r="M251" s="97" t="s">
        <v>92</v>
      </c>
      <c r="N251" s="97"/>
      <c r="O251" s="97"/>
      <c r="P251" s="97"/>
    </row>
    <row r="252">
      <c r="A252" s="92">
        <f t="shared" si="1"/>
        <v>5</v>
      </c>
      <c r="B252" s="92">
        <f t="shared" si="2"/>
        <v>3</v>
      </c>
      <c r="C252" s="93">
        <v>43174.0</v>
      </c>
      <c r="D252" s="94" t="s">
        <v>138</v>
      </c>
      <c r="E252" s="94" t="s">
        <v>24</v>
      </c>
      <c r="F252" s="94" t="s">
        <v>82</v>
      </c>
      <c r="G252" s="95">
        <v>100.0</v>
      </c>
      <c r="H252" s="99"/>
      <c r="I252" s="97" t="str">
        <f t="shared" si="3"/>
        <v>Такси</v>
      </c>
      <c r="J252" s="97" t="s">
        <v>81</v>
      </c>
      <c r="K252" s="97" t="s">
        <v>82</v>
      </c>
      <c r="L252" s="97" t="s">
        <v>83</v>
      </c>
      <c r="M252" s="97" t="s">
        <v>84</v>
      </c>
      <c r="N252" s="97"/>
      <c r="O252" s="97"/>
      <c r="P252" s="97"/>
    </row>
    <row r="253">
      <c r="A253" s="92">
        <f t="shared" si="1"/>
        <v>5</v>
      </c>
      <c r="B253" s="92">
        <f t="shared" si="2"/>
        <v>3</v>
      </c>
      <c r="C253" s="93">
        <v>43174.0</v>
      </c>
      <c r="D253" s="94" t="s">
        <v>80</v>
      </c>
      <c r="E253" s="94" t="s">
        <v>24</v>
      </c>
      <c r="F253" s="94" t="s">
        <v>80</v>
      </c>
      <c r="G253" s="95">
        <v>302.0</v>
      </c>
      <c r="H253" s="99"/>
      <c r="I253" s="97" t="str">
        <f t="shared" si="3"/>
        <v>Такси</v>
      </c>
      <c r="J253" s="97" t="s">
        <v>81</v>
      </c>
      <c r="K253" s="97" t="s">
        <v>82</v>
      </c>
      <c r="L253" s="97" t="s">
        <v>83</v>
      </c>
      <c r="M253" s="97" t="s">
        <v>84</v>
      </c>
      <c r="N253" s="97"/>
      <c r="O253" s="97"/>
      <c r="P253" s="97"/>
    </row>
    <row r="254">
      <c r="A254" s="92">
        <f t="shared" si="1"/>
        <v>5</v>
      </c>
      <c r="B254" s="92">
        <f t="shared" si="2"/>
        <v>3</v>
      </c>
      <c r="C254" s="93">
        <v>43174.0</v>
      </c>
      <c r="D254" s="94" t="s">
        <v>80</v>
      </c>
      <c r="E254" s="94" t="s">
        <v>24</v>
      </c>
      <c r="F254" s="94" t="s">
        <v>80</v>
      </c>
      <c r="G254" s="95">
        <v>118.0</v>
      </c>
      <c r="H254" s="99"/>
      <c r="I254" s="97" t="str">
        <f t="shared" si="3"/>
        <v>Такси</v>
      </c>
      <c r="J254" s="97" t="s">
        <v>81</v>
      </c>
      <c r="K254" s="97" t="s">
        <v>82</v>
      </c>
      <c r="L254" s="97" t="s">
        <v>83</v>
      </c>
      <c r="M254" s="97" t="s">
        <v>84</v>
      </c>
      <c r="N254" s="97"/>
      <c r="O254" s="97"/>
      <c r="P254" s="97"/>
    </row>
    <row r="255">
      <c r="A255" s="92">
        <f t="shared" si="1"/>
        <v>6</v>
      </c>
      <c r="B255" s="92">
        <f t="shared" si="2"/>
        <v>3</v>
      </c>
      <c r="C255" s="93">
        <v>43175.0</v>
      </c>
      <c r="D255" s="94" t="s">
        <v>91</v>
      </c>
      <c r="E255" s="94" t="s">
        <v>15</v>
      </c>
      <c r="F255" s="94" t="s">
        <v>117</v>
      </c>
      <c r="G255" s="95">
        <v>245.0</v>
      </c>
      <c r="H255" s="99"/>
      <c r="I255" s="97" t="str">
        <f t="shared" si="3"/>
        <v>Обед (работа)</v>
      </c>
      <c r="J255" s="97" t="s">
        <v>93</v>
      </c>
      <c r="K255" s="97" t="s">
        <v>94</v>
      </c>
      <c r="L255" s="97" t="s">
        <v>95</v>
      </c>
      <c r="M255" s="97" t="s">
        <v>92</v>
      </c>
      <c r="N255" s="97"/>
      <c r="O255" s="97"/>
      <c r="P255" s="97"/>
    </row>
    <row r="256">
      <c r="A256" s="92">
        <f t="shared" si="1"/>
        <v>6</v>
      </c>
      <c r="B256" s="92">
        <f t="shared" si="2"/>
        <v>3</v>
      </c>
      <c r="C256" s="93">
        <v>43175.0</v>
      </c>
      <c r="D256" s="94" t="s">
        <v>93</v>
      </c>
      <c r="E256" s="94" t="s">
        <v>15</v>
      </c>
      <c r="F256" s="94" t="s">
        <v>93</v>
      </c>
      <c r="G256" s="95">
        <v>164.0</v>
      </c>
      <c r="H256" s="99"/>
      <c r="I256" s="97" t="str">
        <f t="shared" si="3"/>
        <v>Обед (работа)</v>
      </c>
      <c r="J256" s="97" t="s">
        <v>93</v>
      </c>
      <c r="K256" s="97" t="s">
        <v>94</v>
      </c>
      <c r="L256" s="97" t="s">
        <v>95</v>
      </c>
      <c r="M256" s="97" t="s">
        <v>92</v>
      </c>
      <c r="N256" s="97"/>
      <c r="O256" s="97"/>
      <c r="P256" s="97"/>
    </row>
    <row r="257">
      <c r="A257" s="92">
        <f t="shared" si="1"/>
        <v>6</v>
      </c>
      <c r="B257" s="92">
        <f t="shared" si="2"/>
        <v>3</v>
      </c>
      <c r="C257" s="93">
        <v>43175.0</v>
      </c>
      <c r="D257" s="94" t="s">
        <v>95</v>
      </c>
      <c r="E257" s="94" t="s">
        <v>15</v>
      </c>
      <c r="F257" s="94" t="s">
        <v>95</v>
      </c>
      <c r="G257" s="95">
        <v>289.0</v>
      </c>
      <c r="H257" s="99"/>
      <c r="I257" s="97" t="str">
        <f t="shared" si="3"/>
        <v>Обед (работа)</v>
      </c>
      <c r="J257" s="97" t="s">
        <v>93</v>
      </c>
      <c r="K257" s="97" t="s">
        <v>94</v>
      </c>
      <c r="L257" s="97" t="s">
        <v>95</v>
      </c>
      <c r="M257" s="97" t="s">
        <v>92</v>
      </c>
      <c r="N257" s="97"/>
      <c r="O257" s="97"/>
      <c r="P257" s="97"/>
    </row>
    <row r="258">
      <c r="A258" s="92">
        <f t="shared" si="1"/>
        <v>7</v>
      </c>
      <c r="B258" s="92">
        <f t="shared" si="2"/>
        <v>3</v>
      </c>
      <c r="C258" s="93">
        <v>43176.0</v>
      </c>
      <c r="D258" s="94" t="s">
        <v>80</v>
      </c>
      <c r="E258" s="94" t="s">
        <v>24</v>
      </c>
      <c r="F258" s="94" t="s">
        <v>80</v>
      </c>
      <c r="G258" s="95">
        <v>124.0</v>
      </c>
      <c r="H258" s="99"/>
      <c r="I258" s="97" t="str">
        <f t="shared" si="3"/>
        <v>Такси</v>
      </c>
      <c r="J258" s="97" t="s">
        <v>81</v>
      </c>
      <c r="K258" s="97" t="s">
        <v>82</v>
      </c>
      <c r="L258" s="97" t="s">
        <v>83</v>
      </c>
      <c r="M258" s="97" t="s">
        <v>84</v>
      </c>
      <c r="N258" s="97"/>
      <c r="O258" s="97"/>
      <c r="P258" s="97"/>
    </row>
    <row r="259">
      <c r="A259" s="92">
        <f t="shared" si="1"/>
        <v>7</v>
      </c>
      <c r="B259" s="92">
        <f t="shared" si="2"/>
        <v>3</v>
      </c>
      <c r="C259" s="93">
        <v>43176.0</v>
      </c>
      <c r="D259" s="94" t="s">
        <v>26</v>
      </c>
      <c r="E259" s="94" t="s">
        <v>26</v>
      </c>
      <c r="F259" s="100"/>
      <c r="G259" s="95">
        <v>350.0</v>
      </c>
      <c r="H259" s="99"/>
      <c r="I259" s="97" t="str">
        <f t="shared" si="3"/>
        <v/>
      </c>
      <c r="J259" s="97"/>
      <c r="K259" s="97"/>
      <c r="L259" s="97"/>
      <c r="M259" s="97"/>
      <c r="N259" s="97"/>
      <c r="O259" s="97"/>
      <c r="P259" s="97"/>
    </row>
    <row r="260">
      <c r="A260" s="92">
        <f t="shared" si="1"/>
        <v>7</v>
      </c>
      <c r="B260" s="92">
        <f t="shared" si="2"/>
        <v>3</v>
      </c>
      <c r="C260" s="93">
        <v>43176.0</v>
      </c>
      <c r="D260" s="94" t="s">
        <v>102</v>
      </c>
      <c r="E260" s="94" t="s">
        <v>21</v>
      </c>
      <c r="F260" s="94" t="s">
        <v>102</v>
      </c>
      <c r="G260" s="95">
        <v>700.0</v>
      </c>
      <c r="H260" s="99"/>
      <c r="I260" s="97" t="str">
        <f t="shared" si="3"/>
        <v>Вино</v>
      </c>
      <c r="J260" s="97" t="s">
        <v>97</v>
      </c>
      <c r="K260" s="97" t="s">
        <v>98</v>
      </c>
      <c r="L260" s="97" t="s">
        <v>99</v>
      </c>
      <c r="M260" s="97" t="s">
        <v>100</v>
      </c>
      <c r="N260" s="97"/>
      <c r="O260" s="97"/>
      <c r="P260" s="97"/>
    </row>
    <row r="261">
      <c r="A261" s="92">
        <f t="shared" si="1"/>
        <v>1</v>
      </c>
      <c r="B261" s="92">
        <f t="shared" si="2"/>
        <v>3</v>
      </c>
      <c r="C261" s="93">
        <v>43177.0</v>
      </c>
      <c r="D261" s="94" t="s">
        <v>202</v>
      </c>
      <c r="E261" s="94" t="s">
        <v>46</v>
      </c>
      <c r="F261" s="100"/>
      <c r="G261" s="95">
        <v>90.0</v>
      </c>
      <c r="H261" s="99"/>
      <c r="I261" s="97" t="str">
        <f t="shared" si="3"/>
        <v/>
      </c>
      <c r="J261" s="97"/>
      <c r="K261" s="97"/>
      <c r="L261" s="97"/>
      <c r="M261" s="97"/>
      <c r="N261" s="97"/>
      <c r="O261" s="97"/>
      <c r="P261" s="97"/>
    </row>
    <row r="262">
      <c r="A262" s="92">
        <f t="shared" si="1"/>
        <v>1</v>
      </c>
      <c r="B262" s="92">
        <f t="shared" si="2"/>
        <v>3</v>
      </c>
      <c r="C262" s="93">
        <v>43177.0</v>
      </c>
      <c r="D262" s="94" t="s">
        <v>101</v>
      </c>
      <c r="E262" s="94" t="s">
        <v>15</v>
      </c>
      <c r="F262" s="94" t="s">
        <v>110</v>
      </c>
      <c r="G262" s="95">
        <v>450.0</v>
      </c>
      <c r="H262" s="99"/>
      <c r="I262" s="97" t="str">
        <f t="shared" si="3"/>
        <v>Обед (работа)</v>
      </c>
      <c r="J262" s="97" t="s">
        <v>93</v>
      </c>
      <c r="K262" s="97" t="s">
        <v>94</v>
      </c>
      <c r="L262" s="97" t="s">
        <v>95</v>
      </c>
      <c r="M262" s="97" t="s">
        <v>92</v>
      </c>
      <c r="N262" s="97"/>
      <c r="O262" s="97"/>
      <c r="P262" s="97"/>
    </row>
    <row r="263">
      <c r="A263" s="92">
        <f t="shared" si="1"/>
        <v>1</v>
      </c>
      <c r="B263" s="92">
        <f t="shared" si="2"/>
        <v>3</v>
      </c>
      <c r="C263" s="93">
        <v>43177.0</v>
      </c>
      <c r="D263" s="94" t="s">
        <v>203</v>
      </c>
      <c r="E263" s="94" t="s">
        <v>46</v>
      </c>
      <c r="F263" s="100"/>
      <c r="G263" s="95">
        <v>100.0</v>
      </c>
      <c r="H263" s="99"/>
      <c r="I263" s="97" t="str">
        <f t="shared" si="3"/>
        <v/>
      </c>
      <c r="J263" s="97"/>
      <c r="K263" s="97"/>
      <c r="L263" s="97"/>
      <c r="M263" s="97"/>
      <c r="N263" s="97"/>
      <c r="O263" s="97"/>
      <c r="P263" s="97"/>
    </row>
    <row r="264">
      <c r="A264" s="92">
        <f t="shared" si="1"/>
        <v>1</v>
      </c>
      <c r="B264" s="92">
        <f t="shared" si="2"/>
        <v>3</v>
      </c>
      <c r="C264" s="93">
        <v>43177.0</v>
      </c>
      <c r="D264" s="94" t="s">
        <v>204</v>
      </c>
      <c r="E264" s="94" t="s">
        <v>15</v>
      </c>
      <c r="F264" s="94" t="s">
        <v>92</v>
      </c>
      <c r="G264" s="95">
        <v>350.0</v>
      </c>
      <c r="H264" s="99"/>
      <c r="I264" s="97" t="str">
        <f t="shared" si="3"/>
        <v>Обед (работа)</v>
      </c>
      <c r="J264" s="97" t="s">
        <v>93</v>
      </c>
      <c r="K264" s="97" t="s">
        <v>94</v>
      </c>
      <c r="L264" s="97" t="s">
        <v>95</v>
      </c>
      <c r="M264" s="97" t="s">
        <v>92</v>
      </c>
      <c r="N264" s="97"/>
      <c r="O264" s="97"/>
      <c r="P264" s="97"/>
    </row>
    <row r="265">
      <c r="A265" s="92">
        <f t="shared" si="1"/>
        <v>1</v>
      </c>
      <c r="B265" s="92">
        <f t="shared" si="2"/>
        <v>3</v>
      </c>
      <c r="C265" s="93">
        <v>43177.0</v>
      </c>
      <c r="D265" s="94" t="s">
        <v>86</v>
      </c>
      <c r="E265" s="94" t="s">
        <v>30</v>
      </c>
      <c r="F265" s="94" t="s">
        <v>86</v>
      </c>
      <c r="G265" s="95">
        <v>400.0</v>
      </c>
      <c r="H265" s="99"/>
      <c r="I265" s="97" t="str">
        <f t="shared" si="3"/>
        <v>Бар</v>
      </c>
      <c r="J265" s="97" t="s">
        <v>87</v>
      </c>
      <c r="K265" s="97" t="s">
        <v>88</v>
      </c>
      <c r="L265" s="97" t="s">
        <v>89</v>
      </c>
      <c r="M265" s="97" t="s">
        <v>90</v>
      </c>
      <c r="N265" s="97"/>
      <c r="O265" s="97"/>
      <c r="P265" s="97"/>
    </row>
    <row r="266">
      <c r="A266" s="92">
        <f t="shared" si="1"/>
        <v>1</v>
      </c>
      <c r="B266" s="92">
        <f t="shared" si="2"/>
        <v>3</v>
      </c>
      <c r="C266" s="93">
        <v>43177.0</v>
      </c>
      <c r="D266" s="94" t="s">
        <v>205</v>
      </c>
      <c r="E266" s="94" t="s">
        <v>15</v>
      </c>
      <c r="F266" s="94" t="s">
        <v>95</v>
      </c>
      <c r="G266" s="95">
        <v>150.0</v>
      </c>
      <c r="H266" s="99"/>
      <c r="I266" s="97" t="str">
        <f t="shared" si="3"/>
        <v>Обед (работа)</v>
      </c>
      <c r="J266" s="97" t="s">
        <v>93</v>
      </c>
      <c r="K266" s="97" t="s">
        <v>94</v>
      </c>
      <c r="L266" s="97" t="s">
        <v>95</v>
      </c>
      <c r="M266" s="97" t="s">
        <v>92</v>
      </c>
      <c r="N266" s="97"/>
      <c r="O266" s="97"/>
      <c r="P266" s="97"/>
    </row>
    <row r="267">
      <c r="A267" s="92">
        <f t="shared" si="1"/>
        <v>1</v>
      </c>
      <c r="B267" s="92">
        <f t="shared" si="2"/>
        <v>3</v>
      </c>
      <c r="C267" s="93">
        <v>43177.0</v>
      </c>
      <c r="D267" s="94" t="s">
        <v>80</v>
      </c>
      <c r="E267" s="94" t="s">
        <v>24</v>
      </c>
      <c r="F267" s="94" t="s">
        <v>80</v>
      </c>
      <c r="G267" s="95">
        <v>135.0</v>
      </c>
      <c r="H267" s="99"/>
      <c r="I267" s="97" t="str">
        <f t="shared" si="3"/>
        <v>Такси</v>
      </c>
      <c r="J267" s="97" t="s">
        <v>81</v>
      </c>
      <c r="K267" s="97" t="s">
        <v>82</v>
      </c>
      <c r="L267" s="97" t="s">
        <v>83</v>
      </c>
      <c r="M267" s="97" t="s">
        <v>84</v>
      </c>
      <c r="N267" s="97"/>
      <c r="O267" s="97"/>
      <c r="P267" s="97"/>
    </row>
    <row r="268">
      <c r="A268" s="92">
        <f t="shared" si="1"/>
        <v>1</v>
      </c>
      <c r="B268" s="92">
        <f t="shared" si="2"/>
        <v>3</v>
      </c>
      <c r="C268" s="93">
        <v>43177.0</v>
      </c>
      <c r="D268" s="94" t="s">
        <v>95</v>
      </c>
      <c r="E268" s="94" t="s">
        <v>15</v>
      </c>
      <c r="F268" s="94" t="s">
        <v>95</v>
      </c>
      <c r="G268" s="95">
        <v>494.0</v>
      </c>
      <c r="H268" s="99"/>
      <c r="I268" s="97" t="str">
        <f t="shared" si="3"/>
        <v>Обед (работа)</v>
      </c>
      <c r="J268" s="97" t="s">
        <v>93</v>
      </c>
      <c r="K268" s="97" t="s">
        <v>94</v>
      </c>
      <c r="L268" s="97" t="s">
        <v>95</v>
      </c>
      <c r="M268" s="97" t="s">
        <v>92</v>
      </c>
      <c r="N268" s="97"/>
      <c r="O268" s="97"/>
      <c r="P268" s="97"/>
    </row>
    <row r="269">
      <c r="A269" s="92">
        <f t="shared" si="1"/>
        <v>2</v>
      </c>
      <c r="B269" s="92">
        <f t="shared" si="2"/>
        <v>3</v>
      </c>
      <c r="C269" s="93">
        <v>43178.0</v>
      </c>
      <c r="D269" s="94" t="s">
        <v>80</v>
      </c>
      <c r="E269" s="94" t="s">
        <v>24</v>
      </c>
      <c r="F269" s="94" t="s">
        <v>80</v>
      </c>
      <c r="G269" s="95">
        <v>113.0</v>
      </c>
      <c r="H269" s="99"/>
      <c r="I269" s="97" t="str">
        <f t="shared" si="3"/>
        <v>Такси</v>
      </c>
      <c r="J269" s="97" t="s">
        <v>81</v>
      </c>
      <c r="K269" s="97" t="s">
        <v>82</v>
      </c>
      <c r="L269" s="97" t="s">
        <v>83</v>
      </c>
      <c r="M269" s="97" t="s">
        <v>84</v>
      </c>
      <c r="N269" s="97"/>
      <c r="O269" s="97"/>
      <c r="P269" s="97"/>
    </row>
    <row r="270">
      <c r="A270" s="92">
        <f t="shared" si="1"/>
        <v>2</v>
      </c>
      <c r="B270" s="92">
        <f t="shared" si="2"/>
        <v>3</v>
      </c>
      <c r="C270" s="93">
        <v>43178.0</v>
      </c>
      <c r="D270" s="94" t="s">
        <v>91</v>
      </c>
      <c r="E270" s="94" t="s">
        <v>15</v>
      </c>
      <c r="F270" s="94" t="s">
        <v>117</v>
      </c>
      <c r="G270" s="95">
        <v>307.0</v>
      </c>
      <c r="H270" s="99"/>
      <c r="I270" s="97" t="str">
        <f t="shared" si="3"/>
        <v>Обед (работа)</v>
      </c>
      <c r="J270" s="97" t="s">
        <v>93</v>
      </c>
      <c r="K270" s="97" t="s">
        <v>94</v>
      </c>
      <c r="L270" s="97" t="s">
        <v>95</v>
      </c>
      <c r="M270" s="97" t="s">
        <v>92</v>
      </c>
      <c r="N270" s="97"/>
      <c r="O270" s="97"/>
      <c r="P270" s="97"/>
    </row>
    <row r="271">
      <c r="A271" s="92">
        <f t="shared" si="1"/>
        <v>3</v>
      </c>
      <c r="B271" s="92">
        <f t="shared" si="2"/>
        <v>3</v>
      </c>
      <c r="C271" s="93">
        <v>43179.0</v>
      </c>
      <c r="D271" s="94" t="s">
        <v>43</v>
      </c>
      <c r="E271" s="94" t="s">
        <v>43</v>
      </c>
      <c r="F271" s="100"/>
      <c r="G271" s="95">
        <v>100.0</v>
      </c>
      <c r="H271" s="99"/>
      <c r="I271" s="97" t="str">
        <f t="shared" si="3"/>
        <v/>
      </c>
      <c r="J271" s="97"/>
      <c r="K271" s="97"/>
      <c r="L271" s="97"/>
      <c r="M271" s="97"/>
      <c r="N271" s="97"/>
      <c r="O271" s="97"/>
      <c r="P271" s="97"/>
    </row>
    <row r="272">
      <c r="A272" s="92">
        <f t="shared" si="1"/>
        <v>3</v>
      </c>
      <c r="B272" s="92">
        <f t="shared" si="2"/>
        <v>3</v>
      </c>
      <c r="C272" s="93">
        <v>43179.0</v>
      </c>
      <c r="D272" s="94" t="s">
        <v>80</v>
      </c>
      <c r="E272" s="94" t="s">
        <v>24</v>
      </c>
      <c r="F272" s="94" t="s">
        <v>80</v>
      </c>
      <c r="G272" s="95">
        <v>121.0</v>
      </c>
      <c r="H272" s="99"/>
      <c r="I272" s="97" t="str">
        <f t="shared" si="3"/>
        <v>Такси</v>
      </c>
      <c r="J272" s="97" t="s">
        <v>81</v>
      </c>
      <c r="K272" s="97" t="s">
        <v>82</v>
      </c>
      <c r="L272" s="97" t="s">
        <v>83</v>
      </c>
      <c r="M272" s="97" t="s">
        <v>84</v>
      </c>
      <c r="N272" s="97"/>
      <c r="O272" s="97"/>
      <c r="P272" s="97"/>
    </row>
    <row r="273">
      <c r="A273" s="92">
        <f t="shared" si="1"/>
        <v>3</v>
      </c>
      <c r="B273" s="92">
        <f t="shared" si="2"/>
        <v>3</v>
      </c>
      <c r="C273" s="93">
        <v>43179.0</v>
      </c>
      <c r="D273" s="94" t="s">
        <v>91</v>
      </c>
      <c r="E273" s="94" t="s">
        <v>15</v>
      </c>
      <c r="F273" s="94" t="s">
        <v>117</v>
      </c>
      <c r="G273" s="95">
        <v>248.0</v>
      </c>
      <c r="H273" s="99"/>
      <c r="I273" s="97" t="str">
        <f t="shared" si="3"/>
        <v>Обед (работа)</v>
      </c>
      <c r="J273" s="97" t="s">
        <v>93</v>
      </c>
      <c r="K273" s="97" t="s">
        <v>94</v>
      </c>
      <c r="L273" s="97" t="s">
        <v>95</v>
      </c>
      <c r="M273" s="97" t="s">
        <v>92</v>
      </c>
      <c r="N273" s="97"/>
      <c r="O273" s="97"/>
      <c r="P273" s="97"/>
    </row>
    <row r="274">
      <c r="A274" s="92">
        <f t="shared" si="1"/>
        <v>3</v>
      </c>
      <c r="B274" s="92">
        <f t="shared" si="2"/>
        <v>3</v>
      </c>
      <c r="C274" s="93">
        <v>43179.0</v>
      </c>
      <c r="D274" s="94" t="s">
        <v>82</v>
      </c>
      <c r="E274" s="94" t="s">
        <v>24</v>
      </c>
      <c r="F274" s="94" t="s">
        <v>82</v>
      </c>
      <c r="G274" s="95">
        <v>100.0</v>
      </c>
      <c r="H274" s="99"/>
      <c r="I274" s="97" t="str">
        <f t="shared" si="3"/>
        <v>Такси</v>
      </c>
      <c r="J274" s="97" t="s">
        <v>81</v>
      </c>
      <c r="K274" s="97" t="s">
        <v>82</v>
      </c>
      <c r="L274" s="97" t="s">
        <v>83</v>
      </c>
      <c r="M274" s="97" t="s">
        <v>84</v>
      </c>
      <c r="N274" s="97"/>
      <c r="O274" s="97"/>
      <c r="P274" s="97"/>
    </row>
    <row r="275">
      <c r="A275" s="92">
        <f t="shared" si="1"/>
        <v>3</v>
      </c>
      <c r="B275" s="92">
        <f t="shared" si="2"/>
        <v>3</v>
      </c>
      <c r="C275" s="93">
        <v>43179.0</v>
      </c>
      <c r="D275" s="94" t="s">
        <v>206</v>
      </c>
      <c r="E275" s="94" t="s">
        <v>15</v>
      </c>
      <c r="F275" s="94" t="s">
        <v>92</v>
      </c>
      <c r="G275" s="95">
        <v>579.0</v>
      </c>
      <c r="H275" s="99"/>
      <c r="I275" s="97" t="str">
        <f t="shared" si="3"/>
        <v>Обед (работа)</v>
      </c>
      <c r="J275" s="97" t="s">
        <v>93</v>
      </c>
      <c r="K275" s="97" t="s">
        <v>94</v>
      </c>
      <c r="L275" s="97" t="s">
        <v>95</v>
      </c>
      <c r="M275" s="97" t="s">
        <v>92</v>
      </c>
      <c r="N275" s="97"/>
      <c r="O275" s="97"/>
      <c r="P275" s="97"/>
    </row>
    <row r="276">
      <c r="A276" s="92">
        <f t="shared" si="1"/>
        <v>3</v>
      </c>
      <c r="B276" s="92">
        <f t="shared" si="2"/>
        <v>3</v>
      </c>
      <c r="C276" s="93">
        <v>43179.0</v>
      </c>
      <c r="D276" s="94" t="s">
        <v>207</v>
      </c>
      <c r="E276" s="94" t="s">
        <v>30</v>
      </c>
      <c r="F276" s="94" t="s">
        <v>87</v>
      </c>
      <c r="G276" s="95">
        <v>630.0</v>
      </c>
      <c r="H276" s="99"/>
      <c r="I276" s="97" t="str">
        <f t="shared" si="3"/>
        <v>Бар</v>
      </c>
      <c r="J276" s="97" t="s">
        <v>87</v>
      </c>
      <c r="K276" s="97" t="s">
        <v>88</v>
      </c>
      <c r="L276" s="97" t="s">
        <v>89</v>
      </c>
      <c r="M276" s="97" t="s">
        <v>90</v>
      </c>
      <c r="N276" s="97"/>
      <c r="O276" s="97"/>
      <c r="P276" s="97"/>
    </row>
    <row r="277">
      <c r="A277" s="92">
        <f t="shared" si="1"/>
        <v>3</v>
      </c>
      <c r="B277" s="92">
        <f t="shared" si="2"/>
        <v>3</v>
      </c>
      <c r="C277" s="93">
        <v>43179.0</v>
      </c>
      <c r="D277" s="94" t="s">
        <v>80</v>
      </c>
      <c r="E277" s="94" t="s">
        <v>24</v>
      </c>
      <c r="F277" s="94" t="s">
        <v>80</v>
      </c>
      <c r="G277" s="95">
        <v>117.0</v>
      </c>
      <c r="H277" s="99"/>
      <c r="I277" s="97" t="str">
        <f t="shared" si="3"/>
        <v>Такси</v>
      </c>
      <c r="J277" s="97" t="s">
        <v>81</v>
      </c>
      <c r="K277" s="97" t="s">
        <v>82</v>
      </c>
      <c r="L277" s="97" t="s">
        <v>83</v>
      </c>
      <c r="M277" s="97" t="s">
        <v>84</v>
      </c>
      <c r="N277" s="97"/>
      <c r="O277" s="97"/>
      <c r="P277" s="97"/>
    </row>
    <row r="278">
      <c r="A278" s="92">
        <f t="shared" si="1"/>
        <v>3</v>
      </c>
      <c r="B278" s="92">
        <f t="shared" si="2"/>
        <v>3</v>
      </c>
      <c r="C278" s="93">
        <v>43179.0</v>
      </c>
      <c r="D278" s="94" t="s">
        <v>208</v>
      </c>
      <c r="E278" s="94" t="s">
        <v>18</v>
      </c>
      <c r="F278" s="94" t="s">
        <v>115</v>
      </c>
      <c r="G278" s="95">
        <v>300.0</v>
      </c>
      <c r="H278" s="99"/>
      <c r="I278" s="97" t="str">
        <f t="shared" si="3"/>
        <v>Родственники</v>
      </c>
      <c r="J278" s="97" t="s">
        <v>116</v>
      </c>
      <c r="K278" s="97" t="s">
        <v>115</v>
      </c>
      <c r="L278" s="97"/>
      <c r="M278" s="97"/>
      <c r="N278" s="97"/>
      <c r="O278" s="97"/>
      <c r="P278" s="97"/>
    </row>
    <row r="279">
      <c r="A279" s="92">
        <f t="shared" si="1"/>
        <v>4</v>
      </c>
      <c r="B279" s="92">
        <f t="shared" si="2"/>
        <v>3</v>
      </c>
      <c r="C279" s="93">
        <v>43180.0</v>
      </c>
      <c r="D279" s="94" t="s">
        <v>80</v>
      </c>
      <c r="E279" s="94" t="s">
        <v>24</v>
      </c>
      <c r="F279" s="94" t="s">
        <v>80</v>
      </c>
      <c r="G279" s="95">
        <v>123.0</v>
      </c>
      <c r="H279" s="99"/>
      <c r="I279" s="97" t="str">
        <f t="shared" si="3"/>
        <v>Такси</v>
      </c>
      <c r="J279" s="97" t="s">
        <v>81</v>
      </c>
      <c r="K279" s="97" t="s">
        <v>82</v>
      </c>
      <c r="L279" s="97" t="s">
        <v>83</v>
      </c>
      <c r="M279" s="97" t="s">
        <v>84</v>
      </c>
      <c r="N279" s="97"/>
      <c r="O279" s="97"/>
      <c r="P279" s="97"/>
    </row>
    <row r="280">
      <c r="A280" s="92">
        <f t="shared" si="1"/>
        <v>4</v>
      </c>
      <c r="B280" s="92">
        <f t="shared" si="2"/>
        <v>3</v>
      </c>
      <c r="C280" s="93">
        <v>43180.0</v>
      </c>
      <c r="D280" s="94" t="s">
        <v>91</v>
      </c>
      <c r="E280" s="94" t="s">
        <v>15</v>
      </c>
      <c r="F280" s="94" t="s">
        <v>117</v>
      </c>
      <c r="G280" s="95">
        <v>285.0</v>
      </c>
      <c r="H280" s="99"/>
      <c r="I280" s="97" t="str">
        <f t="shared" si="3"/>
        <v>Обед (работа)</v>
      </c>
      <c r="J280" s="97" t="s">
        <v>93</v>
      </c>
      <c r="K280" s="97" t="s">
        <v>94</v>
      </c>
      <c r="L280" s="97" t="s">
        <v>95</v>
      </c>
      <c r="M280" s="97" t="s">
        <v>92</v>
      </c>
      <c r="N280" s="97"/>
      <c r="O280" s="97"/>
      <c r="P280" s="97"/>
    </row>
    <row r="281">
      <c r="A281" s="92">
        <f t="shared" si="1"/>
        <v>4</v>
      </c>
      <c r="B281" s="92">
        <f t="shared" si="2"/>
        <v>3</v>
      </c>
      <c r="C281" s="93">
        <v>43180.0</v>
      </c>
      <c r="D281" s="94" t="s">
        <v>93</v>
      </c>
      <c r="E281" s="94" t="s">
        <v>15</v>
      </c>
      <c r="F281" s="94" t="s">
        <v>93</v>
      </c>
      <c r="G281" s="95">
        <v>170.0</v>
      </c>
      <c r="H281" s="99"/>
      <c r="I281" s="97" t="str">
        <f t="shared" si="3"/>
        <v>Обед (работа)</v>
      </c>
      <c r="J281" s="97" t="s">
        <v>93</v>
      </c>
      <c r="K281" s="97" t="s">
        <v>94</v>
      </c>
      <c r="L281" s="97" t="s">
        <v>95</v>
      </c>
      <c r="M281" s="97" t="s">
        <v>92</v>
      </c>
      <c r="N281" s="97"/>
      <c r="O281" s="97"/>
      <c r="P281" s="97"/>
    </row>
    <row r="282">
      <c r="A282" s="92">
        <f t="shared" si="1"/>
        <v>4</v>
      </c>
      <c r="B282" s="92">
        <f t="shared" si="2"/>
        <v>3</v>
      </c>
      <c r="C282" s="93">
        <v>43180.0</v>
      </c>
      <c r="D282" s="94" t="s">
        <v>95</v>
      </c>
      <c r="E282" s="94" t="s">
        <v>15</v>
      </c>
      <c r="F282" s="94" t="s">
        <v>95</v>
      </c>
      <c r="G282" s="95">
        <v>100.0</v>
      </c>
      <c r="H282" s="99"/>
      <c r="I282" s="97" t="str">
        <f t="shared" si="3"/>
        <v>Обед (работа)</v>
      </c>
      <c r="J282" s="97" t="s">
        <v>93</v>
      </c>
      <c r="K282" s="97" t="s">
        <v>94</v>
      </c>
      <c r="L282" s="97" t="s">
        <v>95</v>
      </c>
      <c r="M282" s="97" t="s">
        <v>92</v>
      </c>
      <c r="N282" s="97"/>
      <c r="O282" s="97"/>
      <c r="P282" s="97"/>
    </row>
    <row r="283">
      <c r="A283" s="92">
        <f t="shared" si="1"/>
        <v>4</v>
      </c>
      <c r="B283" s="92">
        <f t="shared" si="2"/>
        <v>3</v>
      </c>
      <c r="C283" s="93">
        <v>43180.0</v>
      </c>
      <c r="D283" s="94" t="s">
        <v>26</v>
      </c>
      <c r="E283" s="94" t="s">
        <v>26</v>
      </c>
      <c r="F283" s="100"/>
      <c r="G283" s="95">
        <v>614.0</v>
      </c>
      <c r="H283" s="99"/>
      <c r="I283" s="97" t="str">
        <f t="shared" si="3"/>
        <v/>
      </c>
      <c r="J283" s="97"/>
      <c r="K283" s="97"/>
      <c r="L283" s="97"/>
      <c r="M283" s="97"/>
      <c r="N283" s="97"/>
      <c r="O283" s="97"/>
      <c r="P283" s="97"/>
    </row>
    <row r="284">
      <c r="A284" s="92">
        <f t="shared" si="1"/>
        <v>4</v>
      </c>
      <c r="B284" s="92">
        <f t="shared" si="2"/>
        <v>3</v>
      </c>
      <c r="C284" s="93">
        <v>43180.0</v>
      </c>
      <c r="D284" s="94" t="s">
        <v>209</v>
      </c>
      <c r="E284" s="94" t="s">
        <v>46</v>
      </c>
      <c r="F284" s="100"/>
      <c r="G284" s="95">
        <v>300.0</v>
      </c>
      <c r="H284" s="99"/>
      <c r="I284" s="97" t="str">
        <f t="shared" si="3"/>
        <v/>
      </c>
      <c r="J284" s="97"/>
      <c r="K284" s="97"/>
      <c r="L284" s="97"/>
      <c r="M284" s="97"/>
      <c r="N284" s="97"/>
      <c r="O284" s="97"/>
      <c r="P284" s="97"/>
    </row>
    <row r="285">
      <c r="A285" s="92">
        <f t="shared" si="1"/>
        <v>5</v>
      </c>
      <c r="B285" s="92">
        <f t="shared" si="2"/>
        <v>3</v>
      </c>
      <c r="C285" s="93">
        <v>43181.0</v>
      </c>
      <c r="D285" s="94" t="s">
        <v>80</v>
      </c>
      <c r="E285" s="94" t="s">
        <v>24</v>
      </c>
      <c r="F285" s="94" t="s">
        <v>80</v>
      </c>
      <c r="G285" s="95">
        <v>123.0</v>
      </c>
      <c r="H285" s="99"/>
      <c r="I285" s="97" t="str">
        <f t="shared" si="3"/>
        <v>Такси</v>
      </c>
      <c r="J285" s="97" t="s">
        <v>81</v>
      </c>
      <c r="K285" s="97" t="s">
        <v>82</v>
      </c>
      <c r="L285" s="97" t="s">
        <v>83</v>
      </c>
      <c r="M285" s="97" t="s">
        <v>84</v>
      </c>
      <c r="N285" s="97"/>
      <c r="O285" s="97"/>
      <c r="P285" s="97"/>
    </row>
    <row r="286">
      <c r="A286" s="92">
        <f t="shared" si="1"/>
        <v>5</v>
      </c>
      <c r="B286" s="92">
        <f t="shared" si="2"/>
        <v>3</v>
      </c>
      <c r="C286" s="93">
        <v>43181.0</v>
      </c>
      <c r="D286" s="94" t="s">
        <v>83</v>
      </c>
      <c r="E286" s="94" t="s">
        <v>24</v>
      </c>
      <c r="F286" s="94" t="s">
        <v>83</v>
      </c>
      <c r="G286" s="95">
        <v>110.0</v>
      </c>
      <c r="H286" s="99"/>
      <c r="I286" s="97" t="str">
        <f t="shared" si="3"/>
        <v>Такси</v>
      </c>
      <c r="J286" s="97" t="s">
        <v>81</v>
      </c>
      <c r="K286" s="97" t="s">
        <v>82</v>
      </c>
      <c r="L286" s="97" t="s">
        <v>83</v>
      </c>
      <c r="M286" s="97" t="s">
        <v>84</v>
      </c>
      <c r="N286" s="97"/>
      <c r="O286" s="97"/>
      <c r="P286" s="97"/>
    </row>
    <row r="287">
      <c r="A287" s="92">
        <f t="shared" si="1"/>
        <v>5</v>
      </c>
      <c r="B287" s="92">
        <f t="shared" si="2"/>
        <v>3</v>
      </c>
      <c r="C287" s="93">
        <v>43181.0</v>
      </c>
      <c r="D287" s="94" t="s">
        <v>91</v>
      </c>
      <c r="E287" s="94" t="s">
        <v>15</v>
      </c>
      <c r="F287" s="94" t="s">
        <v>117</v>
      </c>
      <c r="G287" s="95">
        <v>245.0</v>
      </c>
      <c r="H287" s="99"/>
      <c r="I287" s="97" t="str">
        <f t="shared" si="3"/>
        <v>Обед (работа)</v>
      </c>
      <c r="J287" s="97" t="s">
        <v>93</v>
      </c>
      <c r="K287" s="97" t="s">
        <v>94</v>
      </c>
      <c r="L287" s="97" t="s">
        <v>95</v>
      </c>
      <c r="M287" s="97" t="s">
        <v>92</v>
      </c>
      <c r="N287" s="97"/>
      <c r="O287" s="97"/>
      <c r="P287" s="97"/>
    </row>
    <row r="288">
      <c r="A288" s="92">
        <f t="shared" si="1"/>
        <v>5</v>
      </c>
      <c r="B288" s="92">
        <f t="shared" si="2"/>
        <v>3</v>
      </c>
      <c r="C288" s="93">
        <v>43181.0</v>
      </c>
      <c r="D288" s="94" t="s">
        <v>83</v>
      </c>
      <c r="E288" s="94" t="s">
        <v>24</v>
      </c>
      <c r="F288" s="94" t="s">
        <v>83</v>
      </c>
      <c r="G288" s="95">
        <v>1200.0</v>
      </c>
      <c r="H288" s="99"/>
      <c r="I288" s="97" t="str">
        <f t="shared" si="3"/>
        <v>Такси</v>
      </c>
      <c r="J288" s="97" t="s">
        <v>81</v>
      </c>
      <c r="K288" s="97" t="s">
        <v>82</v>
      </c>
      <c r="L288" s="97" t="s">
        <v>83</v>
      </c>
      <c r="M288" s="97" t="s">
        <v>84</v>
      </c>
      <c r="N288" s="97"/>
      <c r="O288" s="97"/>
      <c r="P288" s="97"/>
    </row>
    <row r="289">
      <c r="A289" s="92">
        <f t="shared" si="1"/>
        <v>5</v>
      </c>
      <c r="B289" s="92">
        <f t="shared" si="2"/>
        <v>3</v>
      </c>
      <c r="C289" s="93">
        <v>43181.0</v>
      </c>
      <c r="D289" s="94" t="s">
        <v>95</v>
      </c>
      <c r="E289" s="94" t="s">
        <v>15</v>
      </c>
      <c r="F289" s="94" t="s">
        <v>95</v>
      </c>
      <c r="G289" s="95">
        <v>894.0</v>
      </c>
      <c r="H289" s="99"/>
      <c r="I289" s="97" t="str">
        <f t="shared" si="3"/>
        <v>Обед (работа)</v>
      </c>
      <c r="J289" s="97" t="s">
        <v>93</v>
      </c>
      <c r="K289" s="97" t="s">
        <v>94</v>
      </c>
      <c r="L289" s="97" t="s">
        <v>95</v>
      </c>
      <c r="M289" s="97" t="s">
        <v>92</v>
      </c>
      <c r="N289" s="97"/>
      <c r="O289" s="97"/>
      <c r="P289" s="97"/>
    </row>
    <row r="290">
      <c r="A290" s="92">
        <f t="shared" si="1"/>
        <v>6</v>
      </c>
      <c r="B290" s="92">
        <f t="shared" si="2"/>
        <v>3</v>
      </c>
      <c r="C290" s="93">
        <v>43182.0</v>
      </c>
      <c r="D290" s="94" t="s">
        <v>80</v>
      </c>
      <c r="E290" s="94" t="s">
        <v>24</v>
      </c>
      <c r="F290" s="94" t="s">
        <v>80</v>
      </c>
      <c r="G290" s="95">
        <v>130.0</v>
      </c>
      <c r="H290" s="99"/>
      <c r="I290" s="97" t="str">
        <f t="shared" si="3"/>
        <v>Такси</v>
      </c>
      <c r="J290" s="97" t="s">
        <v>81</v>
      </c>
      <c r="K290" s="97" t="s">
        <v>82</v>
      </c>
      <c r="L290" s="97" t="s">
        <v>83</v>
      </c>
      <c r="M290" s="97" t="s">
        <v>84</v>
      </c>
      <c r="N290" s="97"/>
      <c r="O290" s="97"/>
      <c r="P290" s="97"/>
    </row>
    <row r="291">
      <c r="A291" s="92">
        <f t="shared" si="1"/>
        <v>6</v>
      </c>
      <c r="B291" s="92">
        <f t="shared" si="2"/>
        <v>3</v>
      </c>
      <c r="C291" s="93">
        <v>43182.0</v>
      </c>
      <c r="D291" s="94" t="s">
        <v>80</v>
      </c>
      <c r="E291" s="94" t="s">
        <v>24</v>
      </c>
      <c r="F291" s="94" t="s">
        <v>80</v>
      </c>
      <c r="G291" s="95">
        <v>143.0</v>
      </c>
      <c r="H291" s="99"/>
      <c r="I291" s="97" t="str">
        <f t="shared" si="3"/>
        <v>Такси</v>
      </c>
      <c r="J291" s="97" t="s">
        <v>81</v>
      </c>
      <c r="K291" s="97" t="s">
        <v>82</v>
      </c>
      <c r="L291" s="97" t="s">
        <v>83</v>
      </c>
      <c r="M291" s="97" t="s">
        <v>84</v>
      </c>
      <c r="N291" s="97"/>
      <c r="O291" s="97"/>
      <c r="P291" s="97"/>
    </row>
    <row r="292">
      <c r="A292" s="92">
        <f t="shared" si="1"/>
        <v>6</v>
      </c>
      <c r="B292" s="92">
        <f t="shared" si="2"/>
        <v>3</v>
      </c>
      <c r="C292" s="93">
        <v>43182.0</v>
      </c>
      <c r="D292" s="94" t="s">
        <v>91</v>
      </c>
      <c r="E292" s="94" t="s">
        <v>15</v>
      </c>
      <c r="F292" s="94" t="s">
        <v>117</v>
      </c>
      <c r="G292" s="95">
        <v>390.0</v>
      </c>
      <c r="H292" s="99"/>
      <c r="I292" s="97" t="str">
        <f t="shared" si="3"/>
        <v>Обед (работа)</v>
      </c>
      <c r="J292" s="97" t="s">
        <v>93</v>
      </c>
      <c r="K292" s="97" t="s">
        <v>94</v>
      </c>
      <c r="L292" s="97" t="s">
        <v>95</v>
      </c>
      <c r="M292" s="97" t="s">
        <v>92</v>
      </c>
      <c r="N292" s="97"/>
      <c r="O292" s="97"/>
      <c r="P292" s="97"/>
    </row>
    <row r="293">
      <c r="A293" s="92">
        <f t="shared" si="1"/>
        <v>6</v>
      </c>
      <c r="B293" s="92">
        <f t="shared" si="2"/>
        <v>3</v>
      </c>
      <c r="C293" s="93">
        <v>43182.0</v>
      </c>
      <c r="D293" s="94" t="s">
        <v>93</v>
      </c>
      <c r="E293" s="94" t="s">
        <v>15</v>
      </c>
      <c r="F293" s="94" t="s">
        <v>117</v>
      </c>
      <c r="G293" s="95">
        <v>190.0</v>
      </c>
      <c r="H293" s="99"/>
      <c r="I293" s="97" t="str">
        <f t="shared" si="3"/>
        <v>Обед (работа)</v>
      </c>
      <c r="J293" s="97" t="s">
        <v>93</v>
      </c>
      <c r="K293" s="97" t="s">
        <v>94</v>
      </c>
      <c r="L293" s="97" t="s">
        <v>95</v>
      </c>
      <c r="M293" s="97" t="s">
        <v>92</v>
      </c>
      <c r="N293" s="97"/>
      <c r="O293" s="97"/>
      <c r="P293" s="97"/>
    </row>
    <row r="294">
      <c r="A294" s="92">
        <f t="shared" si="1"/>
        <v>6</v>
      </c>
      <c r="B294" s="92">
        <f t="shared" si="2"/>
        <v>3</v>
      </c>
      <c r="C294" s="93">
        <v>43182.0</v>
      </c>
      <c r="D294" s="94" t="s">
        <v>159</v>
      </c>
      <c r="E294" s="94" t="s">
        <v>37</v>
      </c>
      <c r="F294" s="100"/>
      <c r="G294" s="95">
        <v>700.0</v>
      </c>
      <c r="H294" s="99"/>
      <c r="I294" s="97" t="str">
        <f t="shared" si="3"/>
        <v/>
      </c>
      <c r="J294" s="97"/>
      <c r="K294" s="97"/>
      <c r="L294" s="97"/>
      <c r="M294" s="97"/>
      <c r="N294" s="97"/>
      <c r="O294" s="97"/>
      <c r="P294" s="97"/>
    </row>
    <row r="295">
      <c r="A295" s="92">
        <f t="shared" si="1"/>
        <v>6</v>
      </c>
      <c r="B295" s="92">
        <f t="shared" si="2"/>
        <v>3</v>
      </c>
      <c r="C295" s="93">
        <v>43182.0</v>
      </c>
      <c r="D295" s="94" t="s">
        <v>138</v>
      </c>
      <c r="E295" s="94" t="s">
        <v>24</v>
      </c>
      <c r="F295" s="94" t="s">
        <v>82</v>
      </c>
      <c r="G295" s="95">
        <v>100.0</v>
      </c>
      <c r="H295" s="99"/>
      <c r="I295" s="97" t="str">
        <f t="shared" si="3"/>
        <v>Такси</v>
      </c>
      <c r="J295" s="97" t="s">
        <v>81</v>
      </c>
      <c r="K295" s="97" t="s">
        <v>82</v>
      </c>
      <c r="L295" s="97" t="s">
        <v>83</v>
      </c>
      <c r="M295" s="97" t="s">
        <v>84</v>
      </c>
      <c r="N295" s="97"/>
      <c r="O295" s="97"/>
      <c r="P295" s="97"/>
    </row>
    <row r="296">
      <c r="A296" s="92">
        <f t="shared" si="1"/>
        <v>6</v>
      </c>
      <c r="B296" s="92">
        <f t="shared" si="2"/>
        <v>3</v>
      </c>
      <c r="C296" s="93">
        <v>43182.0</v>
      </c>
      <c r="D296" s="94" t="s">
        <v>210</v>
      </c>
      <c r="E296" s="94" t="s">
        <v>34</v>
      </c>
      <c r="F296" s="100"/>
      <c r="G296" s="95">
        <v>1300.0</v>
      </c>
      <c r="H296" s="99"/>
      <c r="I296" s="97" t="str">
        <f t="shared" si="3"/>
        <v/>
      </c>
      <c r="J296" s="97"/>
      <c r="K296" s="97"/>
      <c r="L296" s="97"/>
      <c r="M296" s="97"/>
      <c r="N296" s="97"/>
      <c r="O296" s="97"/>
      <c r="P296" s="97"/>
    </row>
    <row r="297">
      <c r="A297" s="92">
        <f t="shared" si="1"/>
        <v>6</v>
      </c>
      <c r="B297" s="92">
        <f t="shared" si="2"/>
        <v>3</v>
      </c>
      <c r="C297" s="93">
        <v>43182.0</v>
      </c>
      <c r="D297" s="94" t="s">
        <v>102</v>
      </c>
      <c r="E297" s="94" t="s">
        <v>21</v>
      </c>
      <c r="F297" s="94" t="s">
        <v>102</v>
      </c>
      <c r="G297" s="95">
        <v>800.0</v>
      </c>
      <c r="H297" s="99"/>
      <c r="I297" s="97" t="str">
        <f t="shared" si="3"/>
        <v>Вино</v>
      </c>
      <c r="J297" s="97" t="s">
        <v>97</v>
      </c>
      <c r="K297" s="97" t="s">
        <v>98</v>
      </c>
      <c r="L297" s="97" t="s">
        <v>99</v>
      </c>
      <c r="M297" s="97" t="s">
        <v>100</v>
      </c>
      <c r="N297" s="97"/>
      <c r="O297" s="97"/>
      <c r="P297" s="97"/>
    </row>
    <row r="298">
      <c r="A298" s="92">
        <f t="shared" si="1"/>
        <v>6</v>
      </c>
      <c r="B298" s="92">
        <f t="shared" si="2"/>
        <v>3</v>
      </c>
      <c r="C298" s="93">
        <v>43182.0</v>
      </c>
      <c r="D298" s="94" t="s">
        <v>211</v>
      </c>
      <c r="E298" s="94" t="s">
        <v>37</v>
      </c>
      <c r="F298" s="100"/>
      <c r="G298" s="95">
        <v>3000.0</v>
      </c>
      <c r="H298" s="99"/>
      <c r="I298" s="97" t="str">
        <f t="shared" si="3"/>
        <v/>
      </c>
      <c r="J298" s="97"/>
      <c r="K298" s="97"/>
      <c r="L298" s="97"/>
      <c r="M298" s="97"/>
      <c r="N298" s="97"/>
      <c r="O298" s="97"/>
      <c r="P298" s="97"/>
    </row>
    <row r="299">
      <c r="A299" s="92">
        <f t="shared" si="1"/>
        <v>6</v>
      </c>
      <c r="B299" s="92">
        <f t="shared" si="2"/>
        <v>3</v>
      </c>
      <c r="C299" s="93">
        <v>43182.0</v>
      </c>
      <c r="D299" s="94" t="s">
        <v>80</v>
      </c>
      <c r="E299" s="94" t="s">
        <v>24</v>
      </c>
      <c r="F299" s="94" t="s">
        <v>80</v>
      </c>
      <c r="G299" s="95">
        <v>112.0</v>
      </c>
      <c r="H299" s="99"/>
      <c r="I299" s="97" t="str">
        <f t="shared" si="3"/>
        <v>Такси</v>
      </c>
      <c r="J299" s="97" t="s">
        <v>81</v>
      </c>
      <c r="K299" s="97" t="s">
        <v>82</v>
      </c>
      <c r="L299" s="97" t="s">
        <v>83</v>
      </c>
      <c r="M299" s="97" t="s">
        <v>84</v>
      </c>
      <c r="N299" s="97"/>
      <c r="O299" s="97"/>
      <c r="P299" s="97"/>
    </row>
    <row r="300">
      <c r="A300" s="92">
        <f t="shared" si="1"/>
        <v>7</v>
      </c>
      <c r="B300" s="92">
        <f t="shared" si="2"/>
        <v>3</v>
      </c>
      <c r="C300" s="93">
        <v>43183.0</v>
      </c>
      <c r="D300" s="94" t="s">
        <v>95</v>
      </c>
      <c r="E300" s="94" t="s">
        <v>15</v>
      </c>
      <c r="F300" s="94" t="s">
        <v>95</v>
      </c>
      <c r="G300" s="95">
        <v>328.0</v>
      </c>
      <c r="H300" s="99"/>
      <c r="I300" s="97" t="str">
        <f t="shared" si="3"/>
        <v>Обед (работа)</v>
      </c>
      <c r="J300" s="97" t="s">
        <v>93</v>
      </c>
      <c r="K300" s="97" t="s">
        <v>94</v>
      </c>
      <c r="L300" s="97" t="s">
        <v>95</v>
      </c>
      <c r="M300" s="97" t="s">
        <v>92</v>
      </c>
      <c r="N300" s="97"/>
      <c r="O300" s="97"/>
      <c r="P300" s="97"/>
    </row>
    <row r="301">
      <c r="A301" s="92">
        <f t="shared" si="1"/>
        <v>7</v>
      </c>
      <c r="B301" s="92">
        <f t="shared" si="2"/>
        <v>3</v>
      </c>
      <c r="C301" s="93">
        <v>43183.0</v>
      </c>
      <c r="D301" s="94" t="s">
        <v>26</v>
      </c>
      <c r="E301" s="94" t="s">
        <v>26</v>
      </c>
      <c r="F301" s="100"/>
      <c r="G301" s="95">
        <v>446.0</v>
      </c>
      <c r="H301" s="99"/>
      <c r="I301" s="97" t="str">
        <f t="shared" si="3"/>
        <v/>
      </c>
      <c r="J301" s="97"/>
      <c r="K301" s="97"/>
      <c r="L301" s="97"/>
      <c r="M301" s="97"/>
      <c r="N301" s="97"/>
      <c r="O301" s="97"/>
      <c r="P301" s="97"/>
    </row>
    <row r="302">
      <c r="A302" s="92">
        <f t="shared" si="1"/>
        <v>7</v>
      </c>
      <c r="B302" s="92">
        <f t="shared" si="2"/>
        <v>3</v>
      </c>
      <c r="C302" s="93">
        <v>43183.0</v>
      </c>
      <c r="D302" s="94" t="s">
        <v>167</v>
      </c>
      <c r="E302" s="94" t="s">
        <v>40</v>
      </c>
      <c r="F302" s="100"/>
      <c r="G302" s="95">
        <v>550.0</v>
      </c>
      <c r="H302" s="99"/>
      <c r="I302" s="97" t="str">
        <f t="shared" si="3"/>
        <v/>
      </c>
      <c r="J302" s="97"/>
      <c r="K302" s="97"/>
      <c r="L302" s="97"/>
      <c r="M302" s="97"/>
      <c r="N302" s="97"/>
      <c r="O302" s="97"/>
      <c r="P302" s="97"/>
    </row>
    <row r="303">
      <c r="A303" s="92">
        <f t="shared" si="1"/>
        <v>7</v>
      </c>
      <c r="B303" s="92">
        <f t="shared" si="2"/>
        <v>3</v>
      </c>
      <c r="C303" s="93">
        <v>43183.0</v>
      </c>
      <c r="D303" s="94" t="s">
        <v>43</v>
      </c>
      <c r="E303" s="94" t="s">
        <v>43</v>
      </c>
      <c r="F303" s="100"/>
      <c r="G303" s="95">
        <v>100.0</v>
      </c>
      <c r="H303" s="99"/>
      <c r="I303" s="97" t="str">
        <f t="shared" si="3"/>
        <v/>
      </c>
      <c r="J303" s="97"/>
      <c r="K303" s="97"/>
      <c r="L303" s="97"/>
      <c r="M303" s="97"/>
      <c r="N303" s="97"/>
      <c r="O303" s="97"/>
      <c r="P303" s="97"/>
    </row>
    <row r="304">
      <c r="A304" s="92">
        <f t="shared" si="1"/>
        <v>7</v>
      </c>
      <c r="B304" s="92">
        <f t="shared" si="2"/>
        <v>3</v>
      </c>
      <c r="C304" s="93">
        <v>43183.0</v>
      </c>
      <c r="D304" s="94" t="s">
        <v>212</v>
      </c>
      <c r="E304" s="94" t="s">
        <v>30</v>
      </c>
      <c r="F304" s="94" t="s">
        <v>89</v>
      </c>
      <c r="G304" s="95">
        <v>900.0</v>
      </c>
      <c r="H304" s="99"/>
      <c r="I304" s="97" t="str">
        <f t="shared" si="3"/>
        <v>Бар</v>
      </c>
      <c r="J304" s="97" t="s">
        <v>87</v>
      </c>
      <c r="K304" s="97" t="s">
        <v>88</v>
      </c>
      <c r="L304" s="97" t="s">
        <v>89</v>
      </c>
      <c r="M304" s="97" t="s">
        <v>90</v>
      </c>
      <c r="N304" s="97"/>
      <c r="O304" s="97"/>
      <c r="P304" s="97"/>
    </row>
    <row r="305">
      <c r="A305" s="92">
        <f t="shared" si="1"/>
        <v>1</v>
      </c>
      <c r="B305" s="92">
        <f t="shared" si="2"/>
        <v>3</v>
      </c>
      <c r="C305" s="93">
        <v>43184.0</v>
      </c>
      <c r="D305" s="94" t="s">
        <v>26</v>
      </c>
      <c r="E305" s="94" t="s">
        <v>26</v>
      </c>
      <c r="F305" s="100"/>
      <c r="G305" s="95">
        <v>500.0</v>
      </c>
      <c r="H305" s="99"/>
      <c r="I305" s="97" t="str">
        <f t="shared" si="3"/>
        <v/>
      </c>
      <c r="J305" s="97"/>
      <c r="K305" s="97"/>
      <c r="L305" s="97"/>
      <c r="M305" s="97"/>
      <c r="N305" s="97"/>
      <c r="O305" s="97"/>
      <c r="P305" s="97"/>
    </row>
    <row r="306">
      <c r="A306" s="92">
        <f t="shared" si="1"/>
        <v>1</v>
      </c>
      <c r="B306" s="92">
        <f t="shared" si="2"/>
        <v>3</v>
      </c>
      <c r="C306" s="93">
        <v>43184.0</v>
      </c>
      <c r="D306" s="94" t="s">
        <v>80</v>
      </c>
      <c r="E306" s="94" t="s">
        <v>24</v>
      </c>
      <c r="F306" s="94" t="s">
        <v>80</v>
      </c>
      <c r="G306" s="95">
        <v>165.0</v>
      </c>
      <c r="H306" s="99"/>
      <c r="I306" s="97" t="str">
        <f t="shared" si="3"/>
        <v>Такси</v>
      </c>
      <c r="J306" s="97" t="s">
        <v>81</v>
      </c>
      <c r="K306" s="97" t="s">
        <v>82</v>
      </c>
      <c r="L306" s="97" t="s">
        <v>83</v>
      </c>
      <c r="M306" s="97" t="s">
        <v>84</v>
      </c>
      <c r="N306" s="97"/>
      <c r="O306" s="97"/>
      <c r="P306" s="97"/>
    </row>
    <row r="307">
      <c r="A307" s="92">
        <f t="shared" si="1"/>
        <v>1</v>
      </c>
      <c r="B307" s="92">
        <f t="shared" si="2"/>
        <v>3</v>
      </c>
      <c r="C307" s="93">
        <v>43184.0</v>
      </c>
      <c r="D307" s="94" t="s">
        <v>98</v>
      </c>
      <c r="E307" s="94" t="s">
        <v>21</v>
      </c>
      <c r="F307" s="94" t="s">
        <v>98</v>
      </c>
      <c r="G307" s="95">
        <v>105.0</v>
      </c>
      <c r="H307" s="99"/>
      <c r="I307" s="97" t="str">
        <f t="shared" si="3"/>
        <v>Вино</v>
      </c>
      <c r="J307" s="97" t="s">
        <v>97</v>
      </c>
      <c r="K307" s="97" t="s">
        <v>98</v>
      </c>
      <c r="L307" s="97" t="s">
        <v>99</v>
      </c>
      <c r="M307" s="97" t="s">
        <v>100</v>
      </c>
      <c r="N307" s="97"/>
      <c r="O307" s="97"/>
      <c r="P307" s="97"/>
    </row>
    <row r="308">
      <c r="A308" s="92">
        <f t="shared" si="1"/>
        <v>1</v>
      </c>
      <c r="B308" s="92">
        <f t="shared" si="2"/>
        <v>3</v>
      </c>
      <c r="C308" s="93">
        <v>43184.0</v>
      </c>
      <c r="D308" s="94" t="s">
        <v>86</v>
      </c>
      <c r="E308" s="94" t="s">
        <v>30</v>
      </c>
      <c r="F308" s="94" t="s">
        <v>86</v>
      </c>
      <c r="G308" s="95">
        <v>1300.0</v>
      </c>
      <c r="H308" s="99"/>
      <c r="I308" s="97" t="str">
        <f t="shared" si="3"/>
        <v>Бар</v>
      </c>
      <c r="J308" s="97" t="s">
        <v>87</v>
      </c>
      <c r="K308" s="97" t="s">
        <v>88</v>
      </c>
      <c r="L308" s="97" t="s">
        <v>89</v>
      </c>
      <c r="M308" s="97" t="s">
        <v>90</v>
      </c>
      <c r="N308" s="97"/>
      <c r="O308" s="97"/>
      <c r="P308" s="97"/>
    </row>
    <row r="309">
      <c r="A309" s="92">
        <f t="shared" si="1"/>
        <v>1</v>
      </c>
      <c r="B309" s="92">
        <f t="shared" si="2"/>
        <v>3</v>
      </c>
      <c r="C309" s="93">
        <v>43184.0</v>
      </c>
      <c r="D309" s="94" t="s">
        <v>203</v>
      </c>
      <c r="E309" s="94" t="s">
        <v>46</v>
      </c>
      <c r="F309" s="100"/>
      <c r="G309" s="95">
        <v>300.0</v>
      </c>
      <c r="H309" s="99"/>
      <c r="I309" s="97" t="str">
        <f t="shared" si="3"/>
        <v/>
      </c>
      <c r="J309" s="97"/>
      <c r="K309" s="97"/>
      <c r="L309" s="97"/>
      <c r="M309" s="97"/>
      <c r="N309" s="97"/>
      <c r="O309" s="97"/>
      <c r="P309" s="97"/>
    </row>
    <row r="310">
      <c r="A310" s="92">
        <f t="shared" si="1"/>
        <v>2</v>
      </c>
      <c r="B310" s="92">
        <f t="shared" si="2"/>
        <v>3</v>
      </c>
      <c r="C310" s="93">
        <v>43185.0</v>
      </c>
      <c r="D310" s="94" t="s">
        <v>80</v>
      </c>
      <c r="E310" s="94" t="s">
        <v>24</v>
      </c>
      <c r="F310" s="94" t="s">
        <v>80</v>
      </c>
      <c r="G310" s="95">
        <v>118.0</v>
      </c>
      <c r="H310" s="99"/>
      <c r="I310" s="97" t="str">
        <f t="shared" si="3"/>
        <v>Такси</v>
      </c>
      <c r="J310" s="97" t="s">
        <v>81</v>
      </c>
      <c r="K310" s="97" t="s">
        <v>82</v>
      </c>
      <c r="L310" s="97" t="s">
        <v>83</v>
      </c>
      <c r="M310" s="97" t="s">
        <v>84</v>
      </c>
      <c r="N310" s="97"/>
      <c r="O310" s="97"/>
      <c r="P310" s="97"/>
    </row>
    <row r="311">
      <c r="A311" s="92">
        <f t="shared" si="1"/>
        <v>2</v>
      </c>
      <c r="B311" s="92">
        <f t="shared" si="2"/>
        <v>3</v>
      </c>
      <c r="C311" s="93">
        <v>43185.0</v>
      </c>
      <c r="D311" s="94" t="s">
        <v>91</v>
      </c>
      <c r="E311" s="94" t="s">
        <v>15</v>
      </c>
      <c r="F311" s="94" t="s">
        <v>117</v>
      </c>
      <c r="G311" s="95">
        <v>232.0</v>
      </c>
      <c r="H311" s="99"/>
      <c r="I311" s="97" t="str">
        <f t="shared" si="3"/>
        <v>Обед (работа)</v>
      </c>
      <c r="J311" s="97" t="s">
        <v>93</v>
      </c>
      <c r="K311" s="97" t="s">
        <v>94</v>
      </c>
      <c r="L311" s="97" t="s">
        <v>95</v>
      </c>
      <c r="M311" s="97" t="s">
        <v>92</v>
      </c>
      <c r="N311" s="97"/>
      <c r="O311" s="97"/>
      <c r="P311" s="97"/>
    </row>
    <row r="312">
      <c r="A312" s="92">
        <f t="shared" si="1"/>
        <v>2</v>
      </c>
      <c r="B312" s="92">
        <f t="shared" si="2"/>
        <v>3</v>
      </c>
      <c r="C312" s="93">
        <v>43185.0</v>
      </c>
      <c r="D312" s="94" t="s">
        <v>93</v>
      </c>
      <c r="E312" s="94" t="s">
        <v>15</v>
      </c>
      <c r="F312" s="94" t="s">
        <v>93</v>
      </c>
      <c r="G312" s="95">
        <v>225.0</v>
      </c>
      <c r="H312" s="99"/>
      <c r="I312" s="97" t="str">
        <f t="shared" si="3"/>
        <v>Обед (работа)</v>
      </c>
      <c r="J312" s="97" t="s">
        <v>93</v>
      </c>
      <c r="K312" s="97" t="s">
        <v>94</v>
      </c>
      <c r="L312" s="97" t="s">
        <v>95</v>
      </c>
      <c r="M312" s="97" t="s">
        <v>92</v>
      </c>
      <c r="N312" s="97"/>
      <c r="O312" s="97"/>
      <c r="P312" s="97"/>
    </row>
    <row r="313">
      <c r="A313" s="92">
        <f t="shared" si="1"/>
        <v>2</v>
      </c>
      <c r="B313" s="92">
        <f t="shared" si="2"/>
        <v>3</v>
      </c>
      <c r="C313" s="93">
        <v>43185.0</v>
      </c>
      <c r="D313" s="94" t="s">
        <v>26</v>
      </c>
      <c r="E313" s="94" t="s">
        <v>26</v>
      </c>
      <c r="F313" s="100"/>
      <c r="G313" s="95">
        <v>1000.0</v>
      </c>
      <c r="H313" s="99"/>
      <c r="I313" s="97" t="str">
        <f t="shared" si="3"/>
        <v/>
      </c>
      <c r="J313" s="97"/>
      <c r="K313" s="97"/>
      <c r="L313" s="97"/>
      <c r="M313" s="97"/>
      <c r="N313" s="97"/>
      <c r="O313" s="97"/>
      <c r="P313" s="97"/>
    </row>
    <row r="314">
      <c r="A314" s="92">
        <f t="shared" si="1"/>
        <v>2</v>
      </c>
      <c r="B314" s="92">
        <f t="shared" si="2"/>
        <v>3</v>
      </c>
      <c r="C314" s="93">
        <v>43185.0</v>
      </c>
      <c r="D314" s="94" t="s">
        <v>213</v>
      </c>
      <c r="E314" s="94" t="s">
        <v>18</v>
      </c>
      <c r="F314" s="94" t="s">
        <v>120</v>
      </c>
      <c r="G314" s="95">
        <v>10000.0</v>
      </c>
      <c r="H314" s="99"/>
      <c r="I314" s="97" t="str">
        <f t="shared" si="3"/>
        <v>Родственники</v>
      </c>
      <c r="J314" s="97" t="s">
        <v>116</v>
      </c>
      <c r="K314" s="97" t="s">
        <v>115</v>
      </c>
      <c r="L314" s="97"/>
      <c r="M314" s="97"/>
      <c r="N314" s="97"/>
      <c r="O314" s="97"/>
      <c r="P314" s="97"/>
    </row>
    <row r="315">
      <c r="A315" s="92">
        <f t="shared" si="1"/>
        <v>3</v>
      </c>
      <c r="B315" s="92">
        <f t="shared" si="2"/>
        <v>3</v>
      </c>
      <c r="C315" s="93">
        <v>43186.0</v>
      </c>
      <c r="D315" s="94" t="s">
        <v>80</v>
      </c>
      <c r="E315" s="94" t="s">
        <v>24</v>
      </c>
      <c r="F315" s="94" t="s">
        <v>80</v>
      </c>
      <c r="G315" s="95">
        <v>123.0</v>
      </c>
      <c r="H315" s="99"/>
      <c r="I315" s="97" t="str">
        <f t="shared" si="3"/>
        <v>Такси</v>
      </c>
      <c r="J315" s="97" t="s">
        <v>81</v>
      </c>
      <c r="K315" s="97" t="s">
        <v>82</v>
      </c>
      <c r="L315" s="97" t="s">
        <v>83</v>
      </c>
      <c r="M315" s="97" t="s">
        <v>84</v>
      </c>
      <c r="N315" s="97"/>
      <c r="O315" s="97"/>
      <c r="P315" s="97"/>
    </row>
    <row r="316">
      <c r="A316" s="92">
        <f t="shared" si="1"/>
        <v>3</v>
      </c>
      <c r="B316" s="92">
        <f t="shared" si="2"/>
        <v>3</v>
      </c>
      <c r="C316" s="93">
        <v>43186.0</v>
      </c>
      <c r="D316" s="94" t="s">
        <v>91</v>
      </c>
      <c r="E316" s="94" t="s">
        <v>15</v>
      </c>
      <c r="F316" s="94" t="s">
        <v>117</v>
      </c>
      <c r="G316" s="95">
        <v>266.0</v>
      </c>
      <c r="H316" s="99"/>
      <c r="I316" s="97" t="str">
        <f t="shared" si="3"/>
        <v>Обед (работа)</v>
      </c>
      <c r="J316" s="97" t="s">
        <v>93</v>
      </c>
      <c r="K316" s="97" t="s">
        <v>94</v>
      </c>
      <c r="L316" s="97" t="s">
        <v>95</v>
      </c>
      <c r="M316" s="97" t="s">
        <v>92</v>
      </c>
      <c r="N316" s="97"/>
      <c r="O316" s="97"/>
      <c r="P316" s="97"/>
    </row>
    <row r="317">
      <c r="A317" s="92">
        <f t="shared" si="1"/>
        <v>3</v>
      </c>
      <c r="B317" s="92">
        <f t="shared" si="2"/>
        <v>3</v>
      </c>
      <c r="C317" s="93">
        <v>43186.0</v>
      </c>
      <c r="D317" s="94" t="s">
        <v>93</v>
      </c>
      <c r="E317" s="94" t="s">
        <v>15</v>
      </c>
      <c r="F317" s="94" t="s">
        <v>93</v>
      </c>
      <c r="G317" s="95">
        <v>237.0</v>
      </c>
      <c r="H317" s="99"/>
      <c r="I317" s="97" t="str">
        <f t="shared" si="3"/>
        <v>Обед (работа)</v>
      </c>
      <c r="J317" s="97" t="s">
        <v>93</v>
      </c>
      <c r="K317" s="97" t="s">
        <v>94</v>
      </c>
      <c r="L317" s="97" t="s">
        <v>95</v>
      </c>
      <c r="M317" s="97" t="s">
        <v>92</v>
      </c>
      <c r="N317" s="97"/>
      <c r="O317" s="97"/>
      <c r="P317" s="97"/>
    </row>
    <row r="318">
      <c r="A318" s="92">
        <f t="shared" si="1"/>
        <v>4</v>
      </c>
      <c r="B318" s="92">
        <f t="shared" si="2"/>
        <v>3</v>
      </c>
      <c r="C318" s="93">
        <v>43187.0</v>
      </c>
      <c r="D318" s="94" t="s">
        <v>80</v>
      </c>
      <c r="E318" s="94" t="s">
        <v>24</v>
      </c>
      <c r="F318" s="94" t="s">
        <v>80</v>
      </c>
      <c r="G318" s="95">
        <v>118.0</v>
      </c>
      <c r="H318" s="99"/>
      <c r="I318" s="97" t="str">
        <f t="shared" si="3"/>
        <v>Такси</v>
      </c>
      <c r="J318" s="97" t="s">
        <v>81</v>
      </c>
      <c r="K318" s="97" t="s">
        <v>82</v>
      </c>
      <c r="L318" s="97" t="s">
        <v>83</v>
      </c>
      <c r="M318" s="97" t="s">
        <v>84</v>
      </c>
      <c r="N318" s="97"/>
      <c r="O318" s="97"/>
      <c r="P318" s="97"/>
    </row>
    <row r="319">
      <c r="A319" s="92">
        <f t="shared" si="1"/>
        <v>4</v>
      </c>
      <c r="B319" s="92">
        <f t="shared" si="2"/>
        <v>3</v>
      </c>
      <c r="C319" s="93">
        <v>43187.0</v>
      </c>
      <c r="D319" s="94" t="s">
        <v>91</v>
      </c>
      <c r="E319" s="94" t="s">
        <v>15</v>
      </c>
      <c r="F319" s="94" t="s">
        <v>117</v>
      </c>
      <c r="G319" s="95">
        <v>310.0</v>
      </c>
      <c r="H319" s="99"/>
      <c r="I319" s="97" t="str">
        <f t="shared" si="3"/>
        <v>Обед (работа)</v>
      </c>
      <c r="J319" s="97" t="s">
        <v>93</v>
      </c>
      <c r="K319" s="97" t="s">
        <v>94</v>
      </c>
      <c r="L319" s="97" t="s">
        <v>95</v>
      </c>
      <c r="M319" s="97" t="s">
        <v>92</v>
      </c>
      <c r="N319" s="97"/>
      <c r="O319" s="97"/>
      <c r="P319" s="97"/>
    </row>
    <row r="320">
      <c r="A320" s="92">
        <f t="shared" si="1"/>
        <v>4</v>
      </c>
      <c r="B320" s="92">
        <f t="shared" si="2"/>
        <v>3</v>
      </c>
      <c r="C320" s="93">
        <v>43187.0</v>
      </c>
      <c r="D320" s="94" t="s">
        <v>81</v>
      </c>
      <c r="E320" s="94" t="s">
        <v>24</v>
      </c>
      <c r="F320" s="94" t="s">
        <v>81</v>
      </c>
      <c r="G320" s="95">
        <v>100.0</v>
      </c>
      <c r="H320" s="99"/>
      <c r="I320" s="97" t="str">
        <f t="shared" si="3"/>
        <v>Такси</v>
      </c>
      <c r="J320" s="97" t="s">
        <v>81</v>
      </c>
      <c r="K320" s="97" t="s">
        <v>82</v>
      </c>
      <c r="L320" s="97" t="s">
        <v>83</v>
      </c>
      <c r="M320" s="97" t="s">
        <v>84</v>
      </c>
      <c r="N320" s="97"/>
      <c r="O320" s="97"/>
      <c r="P320" s="97"/>
    </row>
    <row r="321">
      <c r="A321" s="92">
        <f t="shared" si="1"/>
        <v>4</v>
      </c>
      <c r="B321" s="92">
        <f t="shared" si="2"/>
        <v>3</v>
      </c>
      <c r="C321" s="93">
        <v>43187.0</v>
      </c>
      <c r="D321" s="94" t="s">
        <v>82</v>
      </c>
      <c r="E321" s="94" t="s">
        <v>24</v>
      </c>
      <c r="F321" s="94" t="s">
        <v>82</v>
      </c>
      <c r="G321" s="95">
        <v>100.0</v>
      </c>
      <c r="H321" s="99"/>
      <c r="I321" s="97" t="str">
        <f t="shared" si="3"/>
        <v>Такси</v>
      </c>
      <c r="J321" s="97" t="s">
        <v>81</v>
      </c>
      <c r="K321" s="97" t="s">
        <v>82</v>
      </c>
      <c r="L321" s="97" t="s">
        <v>83</v>
      </c>
      <c r="M321" s="97" t="s">
        <v>84</v>
      </c>
      <c r="N321" s="97"/>
      <c r="O321" s="97"/>
      <c r="P321" s="97"/>
    </row>
    <row r="322">
      <c r="A322" s="92">
        <f t="shared" si="1"/>
        <v>4</v>
      </c>
      <c r="B322" s="92">
        <f t="shared" si="2"/>
        <v>3</v>
      </c>
      <c r="C322" s="93">
        <v>43187.0</v>
      </c>
      <c r="D322" s="94" t="s">
        <v>26</v>
      </c>
      <c r="E322" s="94" t="s">
        <v>26</v>
      </c>
      <c r="F322" s="100"/>
      <c r="G322" s="95">
        <v>534.0</v>
      </c>
      <c r="H322" s="99"/>
      <c r="I322" s="97" t="str">
        <f t="shared" si="3"/>
        <v/>
      </c>
      <c r="J322" s="97"/>
      <c r="K322" s="97"/>
      <c r="L322" s="97"/>
      <c r="M322" s="97"/>
      <c r="N322" s="97"/>
      <c r="O322" s="97"/>
      <c r="P322" s="97"/>
    </row>
    <row r="323">
      <c r="A323" s="92">
        <f t="shared" si="1"/>
        <v>5</v>
      </c>
      <c r="B323" s="92">
        <f t="shared" si="2"/>
        <v>3</v>
      </c>
      <c r="C323" s="93">
        <v>43188.0</v>
      </c>
      <c r="D323" s="94" t="s">
        <v>80</v>
      </c>
      <c r="E323" s="94" t="s">
        <v>24</v>
      </c>
      <c r="F323" s="94" t="s">
        <v>80</v>
      </c>
      <c r="G323" s="95">
        <v>120.0</v>
      </c>
      <c r="H323" s="99"/>
      <c r="I323" s="97" t="str">
        <f t="shared" si="3"/>
        <v>Такси</v>
      </c>
      <c r="J323" s="97" t="s">
        <v>81</v>
      </c>
      <c r="K323" s="97" t="s">
        <v>82</v>
      </c>
      <c r="L323" s="97" t="s">
        <v>83</v>
      </c>
      <c r="M323" s="97" t="s">
        <v>84</v>
      </c>
      <c r="N323" s="97"/>
      <c r="O323" s="97"/>
      <c r="P323" s="97"/>
    </row>
    <row r="324">
      <c r="A324" s="92">
        <f t="shared" si="1"/>
        <v>5</v>
      </c>
      <c r="B324" s="92">
        <f t="shared" si="2"/>
        <v>3</v>
      </c>
      <c r="C324" s="93">
        <v>43188.0</v>
      </c>
      <c r="D324" s="94" t="s">
        <v>91</v>
      </c>
      <c r="E324" s="94" t="s">
        <v>15</v>
      </c>
      <c r="F324" s="94" t="s">
        <v>117</v>
      </c>
      <c r="G324" s="95">
        <v>384.0</v>
      </c>
      <c r="H324" s="99"/>
      <c r="I324" s="97" t="str">
        <f t="shared" si="3"/>
        <v>Обед (работа)</v>
      </c>
      <c r="J324" s="97" t="s">
        <v>93</v>
      </c>
      <c r="K324" s="97" t="s">
        <v>94</v>
      </c>
      <c r="L324" s="97" t="s">
        <v>95</v>
      </c>
      <c r="M324" s="97" t="s">
        <v>92</v>
      </c>
      <c r="N324" s="97"/>
      <c r="O324" s="97"/>
      <c r="P324" s="97"/>
    </row>
    <row r="325">
      <c r="A325" s="92">
        <f t="shared" si="1"/>
        <v>5</v>
      </c>
      <c r="B325" s="92">
        <f t="shared" si="2"/>
        <v>3</v>
      </c>
      <c r="C325" s="93">
        <v>43188.0</v>
      </c>
      <c r="D325" s="94" t="s">
        <v>154</v>
      </c>
      <c r="E325" s="94" t="s">
        <v>37</v>
      </c>
      <c r="F325" s="100"/>
      <c r="G325" s="95">
        <v>1500.0</v>
      </c>
      <c r="H325" s="99"/>
      <c r="I325" s="97" t="str">
        <f t="shared" si="3"/>
        <v/>
      </c>
      <c r="J325" s="97"/>
      <c r="K325" s="97"/>
      <c r="L325" s="97"/>
      <c r="M325" s="97"/>
      <c r="N325" s="97"/>
      <c r="O325" s="97"/>
      <c r="P325" s="97"/>
    </row>
    <row r="326">
      <c r="A326" s="92">
        <f t="shared" si="1"/>
        <v>5</v>
      </c>
      <c r="B326" s="92">
        <f t="shared" si="2"/>
        <v>3</v>
      </c>
      <c r="C326" s="93">
        <v>43188.0</v>
      </c>
      <c r="D326" s="94" t="s">
        <v>93</v>
      </c>
      <c r="E326" s="94" t="s">
        <v>15</v>
      </c>
      <c r="F326" s="94" t="s">
        <v>93</v>
      </c>
      <c r="G326" s="95">
        <v>100.0</v>
      </c>
      <c r="H326" s="99"/>
      <c r="I326" s="97" t="str">
        <f t="shared" si="3"/>
        <v>Обед (работа)</v>
      </c>
      <c r="J326" s="97" t="s">
        <v>93</v>
      </c>
      <c r="K326" s="97" t="s">
        <v>94</v>
      </c>
      <c r="L326" s="97" t="s">
        <v>95</v>
      </c>
      <c r="M326" s="97" t="s">
        <v>92</v>
      </c>
      <c r="N326" s="97"/>
      <c r="O326" s="97"/>
      <c r="P326" s="97"/>
    </row>
    <row r="327">
      <c r="A327" s="92">
        <f t="shared" si="1"/>
        <v>6</v>
      </c>
      <c r="B327" s="92">
        <f t="shared" si="2"/>
        <v>3</v>
      </c>
      <c r="C327" s="93">
        <v>43189.0</v>
      </c>
      <c r="D327" s="94" t="s">
        <v>80</v>
      </c>
      <c r="E327" s="94" t="s">
        <v>24</v>
      </c>
      <c r="F327" s="94" t="s">
        <v>80</v>
      </c>
      <c r="G327" s="95">
        <v>118.0</v>
      </c>
      <c r="H327" s="99"/>
      <c r="I327" s="97" t="str">
        <f t="shared" si="3"/>
        <v>Такси</v>
      </c>
      <c r="J327" s="97" t="s">
        <v>81</v>
      </c>
      <c r="K327" s="97" t="s">
        <v>82</v>
      </c>
      <c r="L327" s="97" t="s">
        <v>83</v>
      </c>
      <c r="M327" s="97" t="s">
        <v>84</v>
      </c>
      <c r="N327" s="97"/>
      <c r="O327" s="97"/>
      <c r="P327" s="97"/>
    </row>
    <row r="328">
      <c r="A328" s="92">
        <f t="shared" si="1"/>
        <v>6</v>
      </c>
      <c r="B328" s="92">
        <f t="shared" si="2"/>
        <v>3</v>
      </c>
      <c r="C328" s="93">
        <v>43189.0</v>
      </c>
      <c r="D328" s="94" t="s">
        <v>83</v>
      </c>
      <c r="E328" s="94" t="s">
        <v>24</v>
      </c>
      <c r="F328" s="94" t="s">
        <v>83</v>
      </c>
      <c r="G328" s="95">
        <v>44.0</v>
      </c>
      <c r="H328" s="99"/>
      <c r="I328" s="97" t="str">
        <f t="shared" si="3"/>
        <v>Такси</v>
      </c>
      <c r="J328" s="97" t="s">
        <v>81</v>
      </c>
      <c r="K328" s="97" t="s">
        <v>82</v>
      </c>
      <c r="L328" s="97" t="s">
        <v>83</v>
      </c>
      <c r="M328" s="97" t="s">
        <v>84</v>
      </c>
      <c r="N328" s="97"/>
      <c r="O328" s="97"/>
      <c r="P328" s="97"/>
    </row>
    <row r="329">
      <c r="A329" s="92">
        <f t="shared" si="1"/>
        <v>6</v>
      </c>
      <c r="B329" s="92">
        <f t="shared" si="2"/>
        <v>3</v>
      </c>
      <c r="C329" s="93">
        <v>43189.0</v>
      </c>
      <c r="D329" s="94" t="s">
        <v>214</v>
      </c>
      <c r="E329" s="94" t="s">
        <v>37</v>
      </c>
      <c r="F329" s="100"/>
      <c r="G329" s="95">
        <v>650.0</v>
      </c>
      <c r="H329" s="99"/>
      <c r="I329" s="97" t="str">
        <f t="shared" si="3"/>
        <v/>
      </c>
      <c r="J329" s="97"/>
      <c r="K329" s="97"/>
      <c r="L329" s="97"/>
      <c r="M329" s="97"/>
      <c r="N329" s="97"/>
      <c r="O329" s="97"/>
      <c r="P329" s="97"/>
    </row>
    <row r="330">
      <c r="A330" s="92">
        <f t="shared" si="1"/>
        <v>6</v>
      </c>
      <c r="B330" s="92">
        <f t="shared" si="2"/>
        <v>3</v>
      </c>
      <c r="C330" s="93">
        <v>43189.0</v>
      </c>
      <c r="D330" s="94" t="s">
        <v>167</v>
      </c>
      <c r="E330" s="94" t="s">
        <v>40</v>
      </c>
      <c r="F330" s="100"/>
      <c r="G330" s="95">
        <v>940.0</v>
      </c>
      <c r="H330" s="99"/>
      <c r="I330" s="97" t="str">
        <f t="shared" si="3"/>
        <v/>
      </c>
      <c r="J330" s="97"/>
      <c r="K330" s="97"/>
      <c r="L330" s="97"/>
      <c r="M330" s="97"/>
      <c r="N330" s="97"/>
      <c r="O330" s="97"/>
      <c r="P330" s="97"/>
    </row>
    <row r="331">
      <c r="A331" s="92">
        <f t="shared" si="1"/>
        <v>6</v>
      </c>
      <c r="B331" s="92">
        <f t="shared" si="2"/>
        <v>3</v>
      </c>
      <c r="C331" s="93">
        <v>43189.0</v>
      </c>
      <c r="D331" s="94" t="s">
        <v>91</v>
      </c>
      <c r="E331" s="94" t="s">
        <v>15</v>
      </c>
      <c r="F331" s="94" t="s">
        <v>117</v>
      </c>
      <c r="G331" s="95">
        <v>333.0</v>
      </c>
      <c r="H331" s="99"/>
      <c r="I331" s="97" t="str">
        <f t="shared" si="3"/>
        <v>Обед (работа)</v>
      </c>
      <c r="J331" s="97" t="s">
        <v>93</v>
      </c>
      <c r="K331" s="97" t="s">
        <v>94</v>
      </c>
      <c r="L331" s="97" t="s">
        <v>95</v>
      </c>
      <c r="M331" s="97" t="s">
        <v>92</v>
      </c>
      <c r="N331" s="97"/>
      <c r="O331" s="97"/>
      <c r="P331" s="97"/>
    </row>
    <row r="332">
      <c r="A332" s="92">
        <f t="shared" si="1"/>
        <v>6</v>
      </c>
      <c r="B332" s="92">
        <f t="shared" si="2"/>
        <v>3</v>
      </c>
      <c r="C332" s="93">
        <v>43189.0</v>
      </c>
      <c r="D332" s="94" t="s">
        <v>138</v>
      </c>
      <c r="E332" s="94" t="s">
        <v>24</v>
      </c>
      <c r="F332" s="94" t="s">
        <v>82</v>
      </c>
      <c r="G332" s="95">
        <v>100.0</v>
      </c>
      <c r="H332" s="99"/>
      <c r="I332" s="97" t="str">
        <f t="shared" si="3"/>
        <v>Такси</v>
      </c>
      <c r="J332" s="97" t="s">
        <v>81</v>
      </c>
      <c r="K332" s="97" t="s">
        <v>82</v>
      </c>
      <c r="L332" s="97" t="s">
        <v>83</v>
      </c>
      <c r="M332" s="97" t="s">
        <v>84</v>
      </c>
      <c r="N332" s="97"/>
      <c r="O332" s="97"/>
      <c r="P332" s="97"/>
    </row>
    <row r="333">
      <c r="A333" s="92">
        <f t="shared" si="1"/>
        <v>6</v>
      </c>
      <c r="B333" s="92">
        <f t="shared" si="2"/>
        <v>3</v>
      </c>
      <c r="C333" s="93">
        <v>43189.0</v>
      </c>
      <c r="D333" s="94" t="s">
        <v>95</v>
      </c>
      <c r="E333" s="94" t="s">
        <v>15</v>
      </c>
      <c r="F333" s="94" t="s">
        <v>95</v>
      </c>
      <c r="G333" s="95">
        <v>347.0</v>
      </c>
      <c r="H333" s="99"/>
      <c r="I333" s="97" t="str">
        <f t="shared" si="3"/>
        <v>Обед (работа)</v>
      </c>
      <c r="J333" s="97" t="s">
        <v>93</v>
      </c>
      <c r="K333" s="97" t="s">
        <v>94</v>
      </c>
      <c r="L333" s="97" t="s">
        <v>95</v>
      </c>
      <c r="M333" s="97" t="s">
        <v>92</v>
      </c>
      <c r="N333" s="97"/>
      <c r="O333" s="97"/>
      <c r="P333" s="97"/>
    </row>
    <row r="334">
      <c r="A334" s="92">
        <f t="shared" si="1"/>
        <v>6</v>
      </c>
      <c r="B334" s="92">
        <f t="shared" si="2"/>
        <v>3</v>
      </c>
      <c r="C334" s="93">
        <v>43189.0</v>
      </c>
      <c r="D334" s="94" t="s">
        <v>215</v>
      </c>
      <c r="E334" s="94" t="s">
        <v>46</v>
      </c>
      <c r="F334" s="100"/>
      <c r="G334" s="95">
        <v>100.0</v>
      </c>
      <c r="H334" s="99"/>
      <c r="I334" s="97" t="str">
        <f t="shared" si="3"/>
        <v/>
      </c>
      <c r="J334" s="97"/>
      <c r="K334" s="97"/>
      <c r="L334" s="97"/>
      <c r="M334" s="97"/>
      <c r="N334" s="97"/>
      <c r="O334" s="97"/>
      <c r="P334" s="97"/>
    </row>
    <row r="335">
      <c r="A335" s="92">
        <f t="shared" si="1"/>
        <v>7</v>
      </c>
      <c r="B335" s="92">
        <f t="shared" si="2"/>
        <v>3</v>
      </c>
      <c r="C335" s="93">
        <v>43190.0</v>
      </c>
      <c r="D335" s="94" t="s">
        <v>102</v>
      </c>
      <c r="E335" s="94" t="s">
        <v>21</v>
      </c>
      <c r="F335" s="94" t="s">
        <v>102</v>
      </c>
      <c r="G335" s="95">
        <v>445.0</v>
      </c>
      <c r="H335" s="99"/>
      <c r="I335" s="97" t="str">
        <f t="shared" si="3"/>
        <v>Вино</v>
      </c>
      <c r="J335" s="97" t="s">
        <v>97</v>
      </c>
      <c r="K335" s="97" t="s">
        <v>98</v>
      </c>
      <c r="L335" s="97" t="s">
        <v>99</v>
      </c>
      <c r="M335" s="97" t="s">
        <v>100</v>
      </c>
      <c r="N335" s="97"/>
      <c r="O335" s="97"/>
      <c r="P335" s="97"/>
    </row>
    <row r="336">
      <c r="A336" s="92">
        <f t="shared" si="1"/>
        <v>7</v>
      </c>
      <c r="B336" s="92">
        <f t="shared" si="2"/>
        <v>3</v>
      </c>
      <c r="C336" s="93">
        <v>43190.0</v>
      </c>
      <c r="D336" s="94" t="s">
        <v>216</v>
      </c>
      <c r="E336" s="94" t="s">
        <v>21</v>
      </c>
      <c r="F336" s="94" t="s">
        <v>100</v>
      </c>
      <c r="G336" s="95">
        <v>400.0</v>
      </c>
      <c r="H336" s="99"/>
      <c r="I336" s="97" t="str">
        <f t="shared" si="3"/>
        <v>Вино</v>
      </c>
      <c r="J336" s="97" t="s">
        <v>97</v>
      </c>
      <c r="K336" s="97" t="s">
        <v>98</v>
      </c>
      <c r="L336" s="97" t="s">
        <v>99</v>
      </c>
      <c r="M336" s="97" t="s">
        <v>100</v>
      </c>
      <c r="N336" s="97"/>
      <c r="O336" s="97"/>
      <c r="P336" s="97"/>
    </row>
    <row r="337">
      <c r="A337" s="92">
        <f t="shared" si="1"/>
        <v>1</v>
      </c>
      <c r="B337" s="92">
        <f t="shared" si="2"/>
        <v>4</v>
      </c>
      <c r="C337" s="93">
        <v>43191.0</v>
      </c>
      <c r="D337" s="94" t="s">
        <v>182</v>
      </c>
      <c r="E337" s="94" t="s">
        <v>21</v>
      </c>
      <c r="F337" s="94" t="s">
        <v>102</v>
      </c>
      <c r="G337" s="95">
        <v>350.0</v>
      </c>
      <c r="H337" s="99"/>
      <c r="I337" s="97" t="str">
        <f t="shared" si="3"/>
        <v>Вино</v>
      </c>
      <c r="J337" s="97" t="s">
        <v>97</v>
      </c>
      <c r="K337" s="97" t="s">
        <v>98</v>
      </c>
      <c r="L337" s="97" t="s">
        <v>99</v>
      </c>
      <c r="M337" s="97" t="s">
        <v>100</v>
      </c>
      <c r="N337" s="97"/>
      <c r="O337" s="97"/>
      <c r="P337" s="97"/>
    </row>
    <row r="338">
      <c r="A338" s="92">
        <f t="shared" si="1"/>
        <v>1</v>
      </c>
      <c r="B338" s="92">
        <f t="shared" si="2"/>
        <v>4</v>
      </c>
      <c r="C338" s="93">
        <v>43191.0</v>
      </c>
      <c r="D338" s="94" t="s">
        <v>26</v>
      </c>
      <c r="E338" s="94" t="s">
        <v>26</v>
      </c>
      <c r="F338" s="100"/>
      <c r="G338" s="95">
        <v>484.0</v>
      </c>
      <c r="H338" s="99"/>
      <c r="I338" s="97" t="str">
        <f t="shared" si="3"/>
        <v/>
      </c>
      <c r="J338" s="97"/>
      <c r="K338" s="97"/>
      <c r="L338" s="97"/>
      <c r="M338" s="97"/>
      <c r="N338" s="97"/>
      <c r="O338" s="97"/>
      <c r="P338" s="97"/>
    </row>
    <row r="339">
      <c r="A339" s="92">
        <f t="shared" si="1"/>
        <v>1</v>
      </c>
      <c r="B339" s="92">
        <f t="shared" si="2"/>
        <v>4</v>
      </c>
      <c r="C339" s="93">
        <v>43191.0</v>
      </c>
      <c r="D339" s="94" t="s">
        <v>80</v>
      </c>
      <c r="E339" s="94" t="s">
        <v>24</v>
      </c>
      <c r="F339" s="94" t="s">
        <v>80</v>
      </c>
      <c r="G339" s="95">
        <v>167.0</v>
      </c>
      <c r="H339" s="99"/>
      <c r="I339" s="97" t="str">
        <f t="shared" si="3"/>
        <v>Такси</v>
      </c>
      <c r="J339" s="97" t="s">
        <v>81</v>
      </c>
      <c r="K339" s="97" t="s">
        <v>82</v>
      </c>
      <c r="L339" s="97" t="s">
        <v>83</v>
      </c>
      <c r="M339" s="97" t="s">
        <v>84</v>
      </c>
      <c r="N339" s="97"/>
      <c r="O339" s="97"/>
      <c r="P339" s="97"/>
    </row>
    <row r="340">
      <c r="A340" s="92">
        <f t="shared" si="1"/>
        <v>2</v>
      </c>
      <c r="B340" s="92">
        <f t="shared" si="2"/>
        <v>4</v>
      </c>
      <c r="C340" s="93">
        <v>43192.0</v>
      </c>
      <c r="D340" s="94" t="s">
        <v>43</v>
      </c>
      <c r="E340" s="94" t="s">
        <v>43</v>
      </c>
      <c r="F340" s="100"/>
      <c r="G340" s="95">
        <v>100.0</v>
      </c>
      <c r="H340" s="99"/>
      <c r="I340" s="97" t="str">
        <f t="shared" si="3"/>
        <v/>
      </c>
      <c r="J340" s="97"/>
      <c r="K340" s="97"/>
      <c r="L340" s="97"/>
      <c r="M340" s="97"/>
      <c r="N340" s="97"/>
      <c r="O340" s="97"/>
      <c r="P340" s="97"/>
    </row>
    <row r="341">
      <c r="A341" s="92">
        <f t="shared" si="1"/>
        <v>2</v>
      </c>
      <c r="B341" s="92">
        <f t="shared" si="2"/>
        <v>4</v>
      </c>
      <c r="C341" s="93">
        <v>43192.0</v>
      </c>
      <c r="D341" s="94" t="s">
        <v>83</v>
      </c>
      <c r="E341" s="94" t="s">
        <v>24</v>
      </c>
      <c r="F341" s="94" t="s">
        <v>83</v>
      </c>
      <c r="G341" s="95">
        <v>44.0</v>
      </c>
      <c r="H341" s="99"/>
      <c r="I341" s="97" t="str">
        <f t="shared" si="3"/>
        <v>Такси</v>
      </c>
      <c r="J341" s="97" t="s">
        <v>81</v>
      </c>
      <c r="K341" s="97" t="s">
        <v>82</v>
      </c>
      <c r="L341" s="97" t="s">
        <v>83</v>
      </c>
      <c r="M341" s="97" t="s">
        <v>84</v>
      </c>
      <c r="N341" s="97"/>
      <c r="O341" s="97"/>
      <c r="P341" s="97"/>
    </row>
    <row r="342">
      <c r="A342" s="92">
        <f t="shared" si="1"/>
        <v>2</v>
      </c>
      <c r="B342" s="92">
        <f t="shared" si="2"/>
        <v>4</v>
      </c>
      <c r="C342" s="93">
        <v>43192.0</v>
      </c>
      <c r="D342" s="94" t="s">
        <v>91</v>
      </c>
      <c r="E342" s="94" t="s">
        <v>15</v>
      </c>
      <c r="F342" s="94" t="s">
        <v>117</v>
      </c>
      <c r="G342" s="95">
        <v>351.0</v>
      </c>
      <c r="H342" s="99"/>
      <c r="I342" s="97" t="str">
        <f t="shared" si="3"/>
        <v>Обед (работа)</v>
      </c>
      <c r="J342" s="97" t="s">
        <v>93</v>
      </c>
      <c r="K342" s="97" t="s">
        <v>94</v>
      </c>
      <c r="L342" s="97" t="s">
        <v>95</v>
      </c>
      <c r="M342" s="97" t="s">
        <v>92</v>
      </c>
      <c r="N342" s="97"/>
      <c r="O342" s="97"/>
      <c r="P342" s="97"/>
    </row>
    <row r="343">
      <c r="A343" s="92">
        <f t="shared" si="1"/>
        <v>2</v>
      </c>
      <c r="B343" s="92">
        <f t="shared" si="2"/>
        <v>4</v>
      </c>
      <c r="C343" s="93">
        <v>43192.0</v>
      </c>
      <c r="D343" s="94" t="s">
        <v>43</v>
      </c>
      <c r="E343" s="94" t="s">
        <v>43</v>
      </c>
      <c r="F343" s="100"/>
      <c r="G343" s="95">
        <v>600.0</v>
      </c>
      <c r="H343" s="99"/>
      <c r="I343" s="97" t="str">
        <f t="shared" si="3"/>
        <v/>
      </c>
      <c r="J343" s="97"/>
      <c r="K343" s="97"/>
      <c r="L343" s="97"/>
      <c r="M343" s="97"/>
      <c r="N343" s="97"/>
      <c r="O343" s="97"/>
      <c r="P343" s="97"/>
    </row>
    <row r="344">
      <c r="A344" s="92">
        <f t="shared" si="1"/>
        <v>2</v>
      </c>
      <c r="B344" s="92">
        <f t="shared" si="2"/>
        <v>4</v>
      </c>
      <c r="C344" s="93">
        <v>43192.0</v>
      </c>
      <c r="D344" s="94" t="s">
        <v>93</v>
      </c>
      <c r="E344" s="94" t="s">
        <v>15</v>
      </c>
      <c r="F344" s="94" t="s">
        <v>93</v>
      </c>
      <c r="G344" s="95">
        <v>162.0</v>
      </c>
      <c r="H344" s="99"/>
      <c r="I344" s="97" t="str">
        <f t="shared" si="3"/>
        <v>Обед (работа)</v>
      </c>
      <c r="J344" s="97" t="s">
        <v>93</v>
      </c>
      <c r="K344" s="97" t="s">
        <v>94</v>
      </c>
      <c r="L344" s="97" t="s">
        <v>95</v>
      </c>
      <c r="M344" s="97" t="s">
        <v>92</v>
      </c>
      <c r="N344" s="97"/>
      <c r="O344" s="97"/>
      <c r="P344" s="97"/>
    </row>
    <row r="345">
      <c r="A345" s="92">
        <f t="shared" si="1"/>
        <v>2</v>
      </c>
      <c r="B345" s="92">
        <f t="shared" si="2"/>
        <v>4</v>
      </c>
      <c r="C345" s="93">
        <v>43192.0</v>
      </c>
      <c r="D345" s="94" t="s">
        <v>26</v>
      </c>
      <c r="E345" s="94" t="s">
        <v>26</v>
      </c>
      <c r="F345" s="100"/>
      <c r="G345" s="95">
        <v>543.0</v>
      </c>
      <c r="H345" s="99"/>
      <c r="I345" s="97" t="str">
        <f t="shared" si="3"/>
        <v/>
      </c>
      <c r="J345" s="97"/>
      <c r="K345" s="97"/>
      <c r="L345" s="97"/>
      <c r="M345" s="97"/>
      <c r="N345" s="97"/>
      <c r="O345" s="97"/>
      <c r="P345" s="97"/>
    </row>
    <row r="346">
      <c r="A346" s="92">
        <f t="shared" si="1"/>
        <v>3</v>
      </c>
      <c r="B346" s="92">
        <f t="shared" si="2"/>
        <v>4</v>
      </c>
      <c r="C346" s="93">
        <v>43193.0</v>
      </c>
      <c r="D346" s="94" t="s">
        <v>83</v>
      </c>
      <c r="E346" s="94" t="s">
        <v>24</v>
      </c>
      <c r="F346" s="94" t="s">
        <v>83</v>
      </c>
      <c r="G346" s="95">
        <v>22.0</v>
      </c>
      <c r="H346" s="99"/>
      <c r="I346" s="97" t="str">
        <f t="shared" si="3"/>
        <v>Такси</v>
      </c>
      <c r="J346" s="97" t="s">
        <v>81</v>
      </c>
      <c r="K346" s="97" t="s">
        <v>82</v>
      </c>
      <c r="L346" s="97" t="s">
        <v>83</v>
      </c>
      <c r="M346" s="97" t="s">
        <v>84</v>
      </c>
      <c r="N346" s="97"/>
      <c r="O346" s="97"/>
      <c r="P346" s="97"/>
    </row>
    <row r="347">
      <c r="A347" s="92">
        <f t="shared" si="1"/>
        <v>3</v>
      </c>
      <c r="B347" s="92">
        <f t="shared" si="2"/>
        <v>4</v>
      </c>
      <c r="C347" s="93">
        <v>43193.0</v>
      </c>
      <c r="D347" s="94" t="s">
        <v>91</v>
      </c>
      <c r="E347" s="94" t="s">
        <v>15</v>
      </c>
      <c r="F347" s="94" t="s">
        <v>93</v>
      </c>
      <c r="G347" s="95">
        <v>163.0</v>
      </c>
      <c r="H347" s="99"/>
      <c r="I347" s="97" t="str">
        <f t="shared" si="3"/>
        <v>Обед (работа)</v>
      </c>
      <c r="J347" s="97" t="s">
        <v>93</v>
      </c>
      <c r="K347" s="97" t="s">
        <v>94</v>
      </c>
      <c r="L347" s="97" t="s">
        <v>95</v>
      </c>
      <c r="M347" s="97" t="s">
        <v>92</v>
      </c>
      <c r="N347" s="97"/>
      <c r="O347" s="97"/>
      <c r="P347" s="97"/>
    </row>
    <row r="348">
      <c r="A348" s="92">
        <f t="shared" si="1"/>
        <v>3</v>
      </c>
      <c r="B348" s="92">
        <f t="shared" si="2"/>
        <v>4</v>
      </c>
      <c r="C348" s="93">
        <v>43193.0</v>
      </c>
      <c r="D348" s="94" t="s">
        <v>93</v>
      </c>
      <c r="E348" s="94" t="s">
        <v>15</v>
      </c>
      <c r="F348" s="94" t="s">
        <v>117</v>
      </c>
      <c r="G348" s="95">
        <v>75.0</v>
      </c>
      <c r="H348" s="99"/>
      <c r="I348" s="97" t="str">
        <f t="shared" si="3"/>
        <v>Обед (работа)</v>
      </c>
      <c r="J348" s="97" t="s">
        <v>93</v>
      </c>
      <c r="K348" s="97" t="s">
        <v>94</v>
      </c>
      <c r="L348" s="97" t="s">
        <v>95</v>
      </c>
      <c r="M348" s="97" t="s">
        <v>92</v>
      </c>
      <c r="N348" s="97"/>
      <c r="O348" s="97"/>
      <c r="P348" s="97"/>
    </row>
    <row r="349">
      <c r="A349" s="92">
        <f t="shared" si="1"/>
        <v>3</v>
      </c>
      <c r="B349" s="92">
        <f t="shared" si="2"/>
        <v>4</v>
      </c>
      <c r="C349" s="93">
        <v>43193.0</v>
      </c>
      <c r="D349" s="94" t="s">
        <v>26</v>
      </c>
      <c r="E349" s="94" t="s">
        <v>26</v>
      </c>
      <c r="F349" s="100"/>
      <c r="G349" s="95">
        <v>692.0</v>
      </c>
      <c r="H349" s="99"/>
      <c r="I349" s="97" t="str">
        <f t="shared" si="3"/>
        <v/>
      </c>
      <c r="J349" s="97"/>
      <c r="K349" s="97"/>
      <c r="L349" s="97"/>
      <c r="M349" s="97"/>
      <c r="N349" s="97"/>
      <c r="O349" s="97"/>
      <c r="P349" s="97"/>
    </row>
    <row r="350">
      <c r="A350" s="92">
        <f t="shared" si="1"/>
        <v>3</v>
      </c>
      <c r="B350" s="92">
        <f t="shared" si="2"/>
        <v>4</v>
      </c>
      <c r="C350" s="93">
        <v>43193.0</v>
      </c>
      <c r="D350" s="94" t="s">
        <v>102</v>
      </c>
      <c r="E350" s="94" t="s">
        <v>21</v>
      </c>
      <c r="F350" s="94" t="s">
        <v>102</v>
      </c>
      <c r="G350" s="95">
        <v>700.0</v>
      </c>
      <c r="H350" s="99"/>
      <c r="I350" s="97" t="str">
        <f t="shared" si="3"/>
        <v>Вино</v>
      </c>
      <c r="J350" s="97" t="s">
        <v>97</v>
      </c>
      <c r="K350" s="97" t="s">
        <v>98</v>
      </c>
      <c r="L350" s="97" t="s">
        <v>99</v>
      </c>
      <c r="M350" s="97" t="s">
        <v>100</v>
      </c>
      <c r="N350" s="97"/>
      <c r="O350" s="97"/>
      <c r="P350" s="97"/>
    </row>
    <row r="351">
      <c r="A351" s="92">
        <f t="shared" si="1"/>
        <v>4</v>
      </c>
      <c r="B351" s="92">
        <f t="shared" si="2"/>
        <v>4</v>
      </c>
      <c r="C351" s="93">
        <v>43194.0</v>
      </c>
      <c r="D351" s="94" t="s">
        <v>80</v>
      </c>
      <c r="E351" s="94" t="s">
        <v>24</v>
      </c>
      <c r="F351" s="94" t="s">
        <v>80</v>
      </c>
      <c r="G351" s="95">
        <v>121.0</v>
      </c>
      <c r="H351" s="99"/>
      <c r="I351" s="97" t="str">
        <f t="shared" si="3"/>
        <v>Такси</v>
      </c>
      <c r="J351" s="97" t="s">
        <v>81</v>
      </c>
      <c r="K351" s="97" t="s">
        <v>82</v>
      </c>
      <c r="L351" s="97" t="s">
        <v>83</v>
      </c>
      <c r="M351" s="97" t="s">
        <v>84</v>
      </c>
      <c r="N351" s="97"/>
      <c r="O351" s="97"/>
      <c r="P351" s="97"/>
    </row>
    <row r="352">
      <c r="A352" s="92">
        <f t="shared" si="1"/>
        <v>4</v>
      </c>
      <c r="B352" s="92">
        <f t="shared" si="2"/>
        <v>4</v>
      </c>
      <c r="C352" s="93">
        <v>43194.0</v>
      </c>
      <c r="D352" s="94" t="s">
        <v>80</v>
      </c>
      <c r="E352" s="94" t="s">
        <v>24</v>
      </c>
      <c r="F352" s="94" t="s">
        <v>80</v>
      </c>
      <c r="G352" s="95">
        <v>134.0</v>
      </c>
      <c r="H352" s="99"/>
      <c r="I352" s="97" t="str">
        <f t="shared" si="3"/>
        <v>Такси</v>
      </c>
      <c r="J352" s="97" t="s">
        <v>81</v>
      </c>
      <c r="K352" s="97" t="s">
        <v>82</v>
      </c>
      <c r="L352" s="97" t="s">
        <v>83</v>
      </c>
      <c r="M352" s="97" t="s">
        <v>84</v>
      </c>
      <c r="N352" s="97"/>
      <c r="O352" s="97"/>
      <c r="P352" s="97"/>
    </row>
    <row r="353">
      <c r="A353" s="92">
        <f t="shared" si="1"/>
        <v>4</v>
      </c>
      <c r="B353" s="92">
        <f t="shared" si="2"/>
        <v>4</v>
      </c>
      <c r="C353" s="93">
        <v>43194.0</v>
      </c>
      <c r="D353" s="94" t="s">
        <v>80</v>
      </c>
      <c r="E353" s="94" t="s">
        <v>24</v>
      </c>
      <c r="F353" s="94" t="s">
        <v>80</v>
      </c>
      <c r="G353" s="95">
        <v>124.0</v>
      </c>
      <c r="H353" s="99"/>
      <c r="I353" s="97" t="str">
        <f t="shared" si="3"/>
        <v>Такси</v>
      </c>
      <c r="J353" s="97" t="s">
        <v>81</v>
      </c>
      <c r="K353" s="97" t="s">
        <v>82</v>
      </c>
      <c r="L353" s="97" t="s">
        <v>83</v>
      </c>
      <c r="M353" s="97" t="s">
        <v>84</v>
      </c>
      <c r="N353" s="97"/>
      <c r="O353" s="97"/>
      <c r="P353" s="97"/>
    </row>
    <row r="354">
      <c r="A354" s="92">
        <f t="shared" si="1"/>
        <v>4</v>
      </c>
      <c r="B354" s="92">
        <f t="shared" si="2"/>
        <v>4</v>
      </c>
      <c r="C354" s="93">
        <v>43194.0</v>
      </c>
      <c r="D354" s="94" t="s">
        <v>83</v>
      </c>
      <c r="E354" s="94" t="s">
        <v>24</v>
      </c>
      <c r="F354" s="94" t="s">
        <v>83</v>
      </c>
      <c r="G354" s="95">
        <v>22.0</v>
      </c>
      <c r="H354" s="99"/>
      <c r="I354" s="97" t="str">
        <f t="shared" si="3"/>
        <v>Такси</v>
      </c>
      <c r="J354" s="97" t="s">
        <v>81</v>
      </c>
      <c r="K354" s="97" t="s">
        <v>82</v>
      </c>
      <c r="L354" s="97" t="s">
        <v>83</v>
      </c>
      <c r="M354" s="97" t="s">
        <v>84</v>
      </c>
      <c r="N354" s="97"/>
      <c r="O354" s="97"/>
      <c r="P354" s="97"/>
    </row>
    <row r="355">
      <c r="A355" s="92">
        <f t="shared" si="1"/>
        <v>4</v>
      </c>
      <c r="B355" s="92">
        <f t="shared" si="2"/>
        <v>4</v>
      </c>
      <c r="C355" s="93">
        <v>43194.0</v>
      </c>
      <c r="D355" s="94" t="s">
        <v>93</v>
      </c>
      <c r="E355" s="94" t="s">
        <v>15</v>
      </c>
      <c r="F355" s="94" t="s">
        <v>93</v>
      </c>
      <c r="G355" s="95">
        <v>223.0</v>
      </c>
      <c r="H355" s="99"/>
      <c r="I355" s="97" t="str">
        <f t="shared" si="3"/>
        <v>Обед (работа)</v>
      </c>
      <c r="J355" s="97" t="s">
        <v>93</v>
      </c>
      <c r="K355" s="97" t="s">
        <v>94</v>
      </c>
      <c r="L355" s="97" t="s">
        <v>95</v>
      </c>
      <c r="M355" s="97" t="s">
        <v>92</v>
      </c>
      <c r="N355" s="97"/>
      <c r="O355" s="97"/>
      <c r="P355" s="97"/>
    </row>
    <row r="356">
      <c r="A356" s="92">
        <f t="shared" si="1"/>
        <v>4</v>
      </c>
      <c r="B356" s="92">
        <f t="shared" si="2"/>
        <v>4</v>
      </c>
      <c r="C356" s="93">
        <v>43194.0</v>
      </c>
      <c r="D356" s="94" t="s">
        <v>82</v>
      </c>
      <c r="E356" s="94" t="s">
        <v>24</v>
      </c>
      <c r="F356" s="94" t="s">
        <v>82</v>
      </c>
      <c r="G356" s="95">
        <v>100.0</v>
      </c>
      <c r="H356" s="99"/>
      <c r="I356" s="97" t="str">
        <f t="shared" si="3"/>
        <v>Такси</v>
      </c>
      <c r="J356" s="97" t="s">
        <v>81</v>
      </c>
      <c r="K356" s="97" t="s">
        <v>82</v>
      </c>
      <c r="L356" s="97" t="s">
        <v>83</v>
      </c>
      <c r="M356" s="97" t="s">
        <v>84</v>
      </c>
      <c r="N356" s="97"/>
      <c r="O356" s="97"/>
      <c r="P356" s="97"/>
    </row>
    <row r="357">
      <c r="A357" s="92">
        <f t="shared" si="1"/>
        <v>4</v>
      </c>
      <c r="B357" s="92">
        <f t="shared" si="2"/>
        <v>4</v>
      </c>
      <c r="C357" s="93">
        <v>43194.0</v>
      </c>
      <c r="D357" s="94" t="s">
        <v>216</v>
      </c>
      <c r="E357" s="94" t="s">
        <v>21</v>
      </c>
      <c r="F357" s="94" t="s">
        <v>100</v>
      </c>
      <c r="G357" s="95">
        <v>559.0</v>
      </c>
      <c r="H357" s="99"/>
      <c r="I357" s="97" t="str">
        <f t="shared" si="3"/>
        <v>Вино</v>
      </c>
      <c r="J357" s="97" t="s">
        <v>97</v>
      </c>
      <c r="K357" s="97" t="s">
        <v>98</v>
      </c>
      <c r="L357" s="97" t="s">
        <v>99</v>
      </c>
      <c r="M357" s="97" t="s">
        <v>100</v>
      </c>
      <c r="N357" s="97"/>
      <c r="O357" s="97"/>
      <c r="P357" s="97"/>
    </row>
    <row r="358">
      <c r="A358" s="92">
        <f t="shared" si="1"/>
        <v>4</v>
      </c>
      <c r="B358" s="92">
        <f t="shared" si="2"/>
        <v>4</v>
      </c>
      <c r="C358" s="93">
        <v>43194.0</v>
      </c>
      <c r="D358" s="94" t="s">
        <v>102</v>
      </c>
      <c r="E358" s="94" t="s">
        <v>21</v>
      </c>
      <c r="F358" s="94" t="s">
        <v>102</v>
      </c>
      <c r="G358" s="95">
        <v>489.0</v>
      </c>
      <c r="H358" s="99"/>
      <c r="I358" s="97" t="str">
        <f t="shared" si="3"/>
        <v>Вино</v>
      </c>
      <c r="J358" s="97" t="s">
        <v>97</v>
      </c>
      <c r="K358" s="97" t="s">
        <v>98</v>
      </c>
      <c r="L358" s="97" t="s">
        <v>99</v>
      </c>
      <c r="M358" s="97" t="s">
        <v>100</v>
      </c>
      <c r="N358" s="97"/>
      <c r="O358" s="97"/>
      <c r="P358" s="97"/>
    </row>
    <row r="359">
      <c r="A359" s="92">
        <f t="shared" si="1"/>
        <v>4</v>
      </c>
      <c r="B359" s="92">
        <f t="shared" si="2"/>
        <v>4</v>
      </c>
      <c r="C359" s="93">
        <v>43194.0</v>
      </c>
      <c r="D359" s="94" t="s">
        <v>80</v>
      </c>
      <c r="E359" s="94" t="s">
        <v>24</v>
      </c>
      <c r="F359" s="94" t="s">
        <v>80</v>
      </c>
      <c r="G359" s="95">
        <v>138.0</v>
      </c>
      <c r="H359" s="99"/>
      <c r="I359" s="97" t="str">
        <f t="shared" si="3"/>
        <v>Такси</v>
      </c>
      <c r="J359" s="97" t="s">
        <v>81</v>
      </c>
      <c r="K359" s="97" t="s">
        <v>82</v>
      </c>
      <c r="L359" s="97" t="s">
        <v>83</v>
      </c>
      <c r="M359" s="97" t="s">
        <v>84</v>
      </c>
      <c r="N359" s="97"/>
      <c r="O359" s="97"/>
      <c r="P359" s="97"/>
    </row>
    <row r="360">
      <c r="A360" s="92">
        <f t="shared" si="1"/>
        <v>5</v>
      </c>
      <c r="B360" s="92">
        <f t="shared" si="2"/>
        <v>4</v>
      </c>
      <c r="C360" s="93">
        <v>43195.0</v>
      </c>
      <c r="D360" s="94" t="s">
        <v>80</v>
      </c>
      <c r="E360" s="94" t="s">
        <v>24</v>
      </c>
      <c r="F360" s="94" t="s">
        <v>80</v>
      </c>
      <c r="G360" s="95">
        <v>123.0</v>
      </c>
      <c r="H360" s="99"/>
      <c r="I360" s="97" t="str">
        <f t="shared" si="3"/>
        <v>Такси</v>
      </c>
      <c r="J360" s="97" t="s">
        <v>81</v>
      </c>
      <c r="K360" s="97" t="s">
        <v>82</v>
      </c>
      <c r="L360" s="97" t="s">
        <v>83</v>
      </c>
      <c r="M360" s="97" t="s">
        <v>84</v>
      </c>
      <c r="N360" s="97"/>
      <c r="O360" s="97"/>
      <c r="P360" s="97"/>
    </row>
    <row r="361">
      <c r="A361" s="92">
        <f t="shared" si="1"/>
        <v>5</v>
      </c>
      <c r="B361" s="92">
        <f t="shared" si="2"/>
        <v>4</v>
      </c>
      <c r="C361" s="93">
        <v>43195.0</v>
      </c>
      <c r="D361" s="94" t="s">
        <v>83</v>
      </c>
      <c r="E361" s="94" t="s">
        <v>24</v>
      </c>
      <c r="F361" s="94" t="s">
        <v>83</v>
      </c>
      <c r="G361" s="95">
        <v>22.0</v>
      </c>
      <c r="H361" s="99"/>
      <c r="I361" s="97" t="str">
        <f t="shared" si="3"/>
        <v>Такси</v>
      </c>
      <c r="J361" s="97" t="s">
        <v>81</v>
      </c>
      <c r="K361" s="97" t="s">
        <v>82</v>
      </c>
      <c r="L361" s="97" t="s">
        <v>83</v>
      </c>
      <c r="M361" s="97" t="s">
        <v>84</v>
      </c>
      <c r="N361" s="97"/>
      <c r="O361" s="97"/>
      <c r="P361" s="97"/>
    </row>
    <row r="362">
      <c r="A362" s="92">
        <f t="shared" si="1"/>
        <v>5</v>
      </c>
      <c r="B362" s="92">
        <f t="shared" si="2"/>
        <v>4</v>
      </c>
      <c r="C362" s="93">
        <v>43195.0</v>
      </c>
      <c r="D362" s="94" t="s">
        <v>93</v>
      </c>
      <c r="E362" s="94" t="s">
        <v>15</v>
      </c>
      <c r="F362" s="94" t="s">
        <v>93</v>
      </c>
      <c r="G362" s="95">
        <v>202.0</v>
      </c>
      <c r="H362" s="99"/>
      <c r="I362" s="97" t="str">
        <f t="shared" si="3"/>
        <v>Обед (работа)</v>
      </c>
      <c r="J362" s="97" t="s">
        <v>93</v>
      </c>
      <c r="K362" s="97" t="s">
        <v>94</v>
      </c>
      <c r="L362" s="97" t="s">
        <v>95</v>
      </c>
      <c r="M362" s="97" t="s">
        <v>92</v>
      </c>
      <c r="N362" s="97"/>
      <c r="O362" s="97"/>
      <c r="P362" s="97"/>
    </row>
    <row r="363">
      <c r="A363" s="92">
        <f t="shared" si="1"/>
        <v>5</v>
      </c>
      <c r="B363" s="92">
        <f t="shared" si="2"/>
        <v>4</v>
      </c>
      <c r="C363" s="93">
        <v>43195.0</v>
      </c>
      <c r="D363" s="94" t="s">
        <v>91</v>
      </c>
      <c r="E363" s="94" t="s">
        <v>15</v>
      </c>
      <c r="F363" s="94" t="s">
        <v>117</v>
      </c>
      <c r="G363" s="95">
        <v>240.0</v>
      </c>
      <c r="H363" s="99"/>
      <c r="I363" s="97" t="str">
        <f t="shared" si="3"/>
        <v>Обед (работа)</v>
      </c>
      <c r="J363" s="97" t="s">
        <v>93</v>
      </c>
      <c r="K363" s="97" t="s">
        <v>94</v>
      </c>
      <c r="L363" s="97" t="s">
        <v>95</v>
      </c>
      <c r="M363" s="97" t="s">
        <v>92</v>
      </c>
      <c r="N363" s="97"/>
      <c r="O363" s="97"/>
      <c r="P363" s="97"/>
    </row>
    <row r="364">
      <c r="A364" s="92">
        <f t="shared" si="1"/>
        <v>5</v>
      </c>
      <c r="B364" s="92">
        <f t="shared" si="2"/>
        <v>4</v>
      </c>
      <c r="C364" s="93">
        <v>43195.0</v>
      </c>
      <c r="D364" s="94" t="s">
        <v>82</v>
      </c>
      <c r="E364" s="94" t="s">
        <v>24</v>
      </c>
      <c r="F364" s="94" t="s">
        <v>82</v>
      </c>
      <c r="G364" s="95">
        <v>100.0</v>
      </c>
      <c r="H364" s="99"/>
      <c r="I364" s="97" t="str">
        <f t="shared" si="3"/>
        <v>Такси</v>
      </c>
      <c r="J364" s="97" t="s">
        <v>81</v>
      </c>
      <c r="K364" s="97" t="s">
        <v>82</v>
      </c>
      <c r="L364" s="97" t="s">
        <v>83</v>
      </c>
      <c r="M364" s="97" t="s">
        <v>84</v>
      </c>
      <c r="N364" s="97"/>
      <c r="O364" s="97"/>
      <c r="P364" s="97"/>
    </row>
    <row r="365">
      <c r="A365" s="92">
        <f t="shared" si="1"/>
        <v>5</v>
      </c>
      <c r="B365" s="92">
        <f t="shared" si="2"/>
        <v>4</v>
      </c>
      <c r="C365" s="93">
        <v>43195.0</v>
      </c>
      <c r="D365" s="94" t="s">
        <v>97</v>
      </c>
      <c r="E365" s="94" t="s">
        <v>21</v>
      </c>
      <c r="F365" s="94" t="s">
        <v>97</v>
      </c>
      <c r="G365" s="95">
        <v>275.0</v>
      </c>
      <c r="H365" s="99"/>
      <c r="I365" s="97" t="str">
        <f t="shared" si="3"/>
        <v>Вино</v>
      </c>
      <c r="J365" s="97" t="s">
        <v>97</v>
      </c>
      <c r="K365" s="97" t="s">
        <v>98</v>
      </c>
      <c r="L365" s="97" t="s">
        <v>99</v>
      </c>
      <c r="M365" s="97" t="s">
        <v>100</v>
      </c>
      <c r="N365" s="97"/>
      <c r="O365" s="97"/>
      <c r="P365" s="97"/>
    </row>
    <row r="366">
      <c r="A366" s="92">
        <f t="shared" si="1"/>
        <v>6</v>
      </c>
      <c r="B366" s="92">
        <f t="shared" si="2"/>
        <v>4</v>
      </c>
      <c r="C366" s="93">
        <v>43196.0</v>
      </c>
      <c r="D366" s="94" t="s">
        <v>80</v>
      </c>
      <c r="E366" s="94" t="s">
        <v>24</v>
      </c>
      <c r="F366" s="94" t="s">
        <v>80</v>
      </c>
      <c r="G366" s="95">
        <v>122.0</v>
      </c>
      <c r="H366" s="99"/>
      <c r="I366" s="97" t="str">
        <f t="shared" si="3"/>
        <v>Такси</v>
      </c>
      <c r="J366" s="97" t="s">
        <v>81</v>
      </c>
      <c r="K366" s="97" t="s">
        <v>82</v>
      </c>
      <c r="L366" s="97" t="s">
        <v>83</v>
      </c>
      <c r="M366" s="97" t="s">
        <v>84</v>
      </c>
      <c r="N366" s="97"/>
      <c r="O366" s="97"/>
      <c r="P366" s="97"/>
    </row>
    <row r="367">
      <c r="A367" s="92">
        <f t="shared" si="1"/>
        <v>6</v>
      </c>
      <c r="B367" s="92">
        <f t="shared" si="2"/>
        <v>4</v>
      </c>
      <c r="C367" s="93">
        <v>43196.0</v>
      </c>
      <c r="D367" s="94" t="s">
        <v>80</v>
      </c>
      <c r="E367" s="94" t="s">
        <v>24</v>
      </c>
      <c r="F367" s="94" t="s">
        <v>80</v>
      </c>
      <c r="G367" s="95">
        <v>257.0</v>
      </c>
      <c r="H367" s="99"/>
      <c r="I367" s="97" t="str">
        <f t="shared" si="3"/>
        <v>Такси</v>
      </c>
      <c r="J367" s="97" t="s">
        <v>81</v>
      </c>
      <c r="K367" s="97" t="s">
        <v>82</v>
      </c>
      <c r="L367" s="97" t="s">
        <v>83</v>
      </c>
      <c r="M367" s="97" t="s">
        <v>84</v>
      </c>
      <c r="N367" s="97"/>
      <c r="O367" s="97"/>
      <c r="P367" s="97"/>
    </row>
    <row r="368">
      <c r="A368" s="92">
        <f t="shared" si="1"/>
        <v>6</v>
      </c>
      <c r="B368" s="92">
        <f t="shared" si="2"/>
        <v>4</v>
      </c>
      <c r="C368" s="93">
        <v>43196.0</v>
      </c>
      <c r="D368" s="94" t="s">
        <v>83</v>
      </c>
      <c r="E368" s="94" t="s">
        <v>24</v>
      </c>
      <c r="F368" s="94" t="s">
        <v>83</v>
      </c>
      <c r="G368" s="95">
        <v>22.0</v>
      </c>
      <c r="H368" s="99"/>
      <c r="I368" s="97" t="str">
        <f t="shared" si="3"/>
        <v>Такси</v>
      </c>
      <c r="J368" s="97" t="s">
        <v>81</v>
      </c>
      <c r="K368" s="97" t="s">
        <v>82</v>
      </c>
      <c r="L368" s="97" t="s">
        <v>83</v>
      </c>
      <c r="M368" s="97" t="s">
        <v>84</v>
      </c>
      <c r="N368" s="97"/>
      <c r="O368" s="97"/>
      <c r="P368" s="97"/>
    </row>
    <row r="369">
      <c r="A369" s="92">
        <f t="shared" si="1"/>
        <v>6</v>
      </c>
      <c r="B369" s="92">
        <f t="shared" si="2"/>
        <v>4</v>
      </c>
      <c r="C369" s="93">
        <v>43196.0</v>
      </c>
      <c r="D369" s="94" t="s">
        <v>102</v>
      </c>
      <c r="E369" s="94" t="s">
        <v>21</v>
      </c>
      <c r="F369" s="94" t="s">
        <v>102</v>
      </c>
      <c r="G369" s="95">
        <v>538.0</v>
      </c>
      <c r="H369" s="99"/>
      <c r="I369" s="97" t="str">
        <f t="shared" si="3"/>
        <v>Вино</v>
      </c>
      <c r="J369" s="97" t="s">
        <v>97</v>
      </c>
      <c r="K369" s="97" t="s">
        <v>98</v>
      </c>
      <c r="L369" s="97" t="s">
        <v>99</v>
      </c>
      <c r="M369" s="97" t="s">
        <v>100</v>
      </c>
      <c r="N369" s="97"/>
      <c r="O369" s="97"/>
      <c r="P369" s="97"/>
    </row>
    <row r="370">
      <c r="A370" s="92">
        <f t="shared" si="1"/>
        <v>6</v>
      </c>
      <c r="B370" s="92">
        <f t="shared" si="2"/>
        <v>4</v>
      </c>
      <c r="C370" s="93">
        <v>43196.0</v>
      </c>
      <c r="D370" s="94" t="s">
        <v>95</v>
      </c>
      <c r="E370" s="94" t="s">
        <v>15</v>
      </c>
      <c r="F370" s="94" t="s">
        <v>95</v>
      </c>
      <c r="G370" s="95">
        <v>200.0</v>
      </c>
      <c r="H370" s="99"/>
      <c r="I370" s="97" t="str">
        <f t="shared" si="3"/>
        <v>Обед (работа)</v>
      </c>
      <c r="J370" s="97" t="s">
        <v>93</v>
      </c>
      <c r="K370" s="97" t="s">
        <v>94</v>
      </c>
      <c r="L370" s="97" t="s">
        <v>95</v>
      </c>
      <c r="M370" s="97" t="s">
        <v>92</v>
      </c>
      <c r="N370" s="97"/>
      <c r="O370" s="97"/>
      <c r="P370" s="97"/>
    </row>
    <row r="371">
      <c r="A371" s="92">
        <f t="shared" si="1"/>
        <v>6</v>
      </c>
      <c r="B371" s="92">
        <f t="shared" si="2"/>
        <v>4</v>
      </c>
      <c r="C371" s="93">
        <v>43196.0</v>
      </c>
      <c r="D371" s="94" t="s">
        <v>80</v>
      </c>
      <c r="E371" s="94" t="s">
        <v>24</v>
      </c>
      <c r="F371" s="94" t="s">
        <v>80</v>
      </c>
      <c r="G371" s="95">
        <v>878.0</v>
      </c>
      <c r="H371" s="99"/>
      <c r="I371" s="97" t="str">
        <f t="shared" si="3"/>
        <v>Такси</v>
      </c>
      <c r="J371" s="97" t="s">
        <v>81</v>
      </c>
      <c r="K371" s="97" t="s">
        <v>82</v>
      </c>
      <c r="L371" s="97" t="s">
        <v>83</v>
      </c>
      <c r="M371" s="97" t="s">
        <v>84</v>
      </c>
      <c r="N371" s="97"/>
      <c r="O371" s="97"/>
      <c r="P371" s="97"/>
    </row>
    <row r="372">
      <c r="A372" s="92">
        <f t="shared" si="1"/>
        <v>7</v>
      </c>
      <c r="B372" s="92">
        <f t="shared" si="2"/>
        <v>4</v>
      </c>
      <c r="C372" s="93">
        <v>43197.0</v>
      </c>
      <c r="D372" s="94" t="s">
        <v>80</v>
      </c>
      <c r="E372" s="94" t="s">
        <v>24</v>
      </c>
      <c r="F372" s="94" t="s">
        <v>80</v>
      </c>
      <c r="G372" s="95">
        <v>149.0</v>
      </c>
      <c r="H372" s="99"/>
      <c r="I372" s="97" t="str">
        <f t="shared" si="3"/>
        <v>Такси</v>
      </c>
      <c r="J372" s="97" t="s">
        <v>81</v>
      </c>
      <c r="K372" s="97" t="s">
        <v>82</v>
      </c>
      <c r="L372" s="97" t="s">
        <v>83</v>
      </c>
      <c r="M372" s="97" t="s">
        <v>84</v>
      </c>
      <c r="N372" s="97"/>
      <c r="O372" s="97"/>
      <c r="P372" s="97"/>
    </row>
    <row r="373">
      <c r="A373" s="92">
        <f t="shared" si="1"/>
        <v>7</v>
      </c>
      <c r="B373" s="92">
        <f t="shared" si="2"/>
        <v>4</v>
      </c>
      <c r="C373" s="93">
        <v>43197.0</v>
      </c>
      <c r="D373" s="94" t="s">
        <v>217</v>
      </c>
      <c r="E373" s="94" t="s">
        <v>30</v>
      </c>
      <c r="F373" s="94" t="s">
        <v>86</v>
      </c>
      <c r="G373" s="95">
        <v>2000.0</v>
      </c>
      <c r="H373" s="99"/>
      <c r="I373" s="97" t="str">
        <f t="shared" si="3"/>
        <v>Бар</v>
      </c>
      <c r="J373" s="97" t="s">
        <v>87</v>
      </c>
      <c r="K373" s="97" t="s">
        <v>88</v>
      </c>
      <c r="L373" s="97" t="s">
        <v>89</v>
      </c>
      <c r="M373" s="97" t="s">
        <v>90</v>
      </c>
      <c r="N373" s="97"/>
      <c r="O373" s="97"/>
      <c r="P373" s="97"/>
    </row>
    <row r="374">
      <c r="A374" s="92">
        <f t="shared" si="1"/>
        <v>7</v>
      </c>
      <c r="B374" s="92">
        <f t="shared" si="2"/>
        <v>4</v>
      </c>
      <c r="C374" s="93">
        <v>43197.0</v>
      </c>
      <c r="D374" s="94" t="s">
        <v>218</v>
      </c>
      <c r="E374" s="94" t="s">
        <v>18</v>
      </c>
      <c r="F374" s="94" t="s">
        <v>116</v>
      </c>
      <c r="G374" s="95">
        <v>1000.0</v>
      </c>
      <c r="H374" s="99"/>
      <c r="I374" s="97" t="str">
        <f t="shared" si="3"/>
        <v>Родственники</v>
      </c>
      <c r="J374" s="97" t="s">
        <v>116</v>
      </c>
      <c r="K374" s="97" t="s">
        <v>115</v>
      </c>
      <c r="L374" s="97"/>
      <c r="M374" s="97"/>
      <c r="N374" s="97"/>
      <c r="O374" s="97"/>
      <c r="P374" s="97"/>
    </row>
    <row r="375">
      <c r="A375" s="92">
        <f t="shared" si="1"/>
        <v>7</v>
      </c>
      <c r="B375" s="92">
        <f t="shared" si="2"/>
        <v>4</v>
      </c>
      <c r="C375" s="93">
        <v>43197.0</v>
      </c>
      <c r="D375" s="94" t="s">
        <v>219</v>
      </c>
      <c r="E375" s="94" t="s">
        <v>15</v>
      </c>
      <c r="F375" s="94" t="s">
        <v>95</v>
      </c>
      <c r="G375" s="95">
        <v>600.0</v>
      </c>
      <c r="H375" s="99"/>
      <c r="I375" s="97" t="str">
        <f t="shared" si="3"/>
        <v>Обед (работа)</v>
      </c>
      <c r="J375" s="97" t="s">
        <v>93</v>
      </c>
      <c r="K375" s="97" t="s">
        <v>94</v>
      </c>
      <c r="L375" s="97" t="s">
        <v>95</v>
      </c>
      <c r="M375" s="97" t="s">
        <v>92</v>
      </c>
      <c r="N375" s="97"/>
      <c r="O375" s="97"/>
      <c r="P375" s="97"/>
    </row>
    <row r="376">
      <c r="A376" s="92">
        <f t="shared" si="1"/>
        <v>7</v>
      </c>
      <c r="B376" s="92">
        <f t="shared" si="2"/>
        <v>4</v>
      </c>
      <c r="C376" s="93">
        <v>43197.0</v>
      </c>
      <c r="D376" s="94" t="s">
        <v>86</v>
      </c>
      <c r="E376" s="94" t="s">
        <v>30</v>
      </c>
      <c r="F376" s="94" t="s">
        <v>86</v>
      </c>
      <c r="G376" s="95">
        <v>2500.0</v>
      </c>
      <c r="H376" s="99"/>
      <c r="I376" s="97" t="str">
        <f t="shared" si="3"/>
        <v>Бар</v>
      </c>
      <c r="J376" s="97" t="s">
        <v>87</v>
      </c>
      <c r="K376" s="97" t="s">
        <v>88</v>
      </c>
      <c r="L376" s="97" t="s">
        <v>89</v>
      </c>
      <c r="M376" s="97" t="s">
        <v>90</v>
      </c>
      <c r="N376" s="97"/>
      <c r="O376" s="97"/>
      <c r="P376" s="97"/>
    </row>
    <row r="377">
      <c r="A377" s="92">
        <f t="shared" si="1"/>
        <v>7</v>
      </c>
      <c r="B377" s="92">
        <f t="shared" si="2"/>
        <v>4</v>
      </c>
      <c r="C377" s="93">
        <v>43197.0</v>
      </c>
      <c r="D377" s="94" t="s">
        <v>80</v>
      </c>
      <c r="E377" s="94" t="s">
        <v>24</v>
      </c>
      <c r="F377" s="94" t="s">
        <v>80</v>
      </c>
      <c r="G377" s="95">
        <v>822.0</v>
      </c>
      <c r="H377" s="99"/>
      <c r="I377" s="97" t="str">
        <f t="shared" si="3"/>
        <v>Такси</v>
      </c>
      <c r="J377" s="97" t="s">
        <v>81</v>
      </c>
      <c r="K377" s="97" t="s">
        <v>82</v>
      </c>
      <c r="L377" s="97" t="s">
        <v>83</v>
      </c>
      <c r="M377" s="97" t="s">
        <v>84</v>
      </c>
      <c r="N377" s="97"/>
      <c r="O377" s="97"/>
      <c r="P377" s="97"/>
    </row>
    <row r="378">
      <c r="A378" s="92">
        <f t="shared" si="1"/>
        <v>1</v>
      </c>
      <c r="B378" s="92">
        <f t="shared" si="2"/>
        <v>4</v>
      </c>
      <c r="C378" s="93">
        <v>43198.0</v>
      </c>
      <c r="D378" s="94" t="s">
        <v>102</v>
      </c>
      <c r="E378" s="94" t="s">
        <v>21</v>
      </c>
      <c r="F378" s="94" t="s">
        <v>102</v>
      </c>
      <c r="G378" s="95">
        <v>587.0</v>
      </c>
      <c r="H378" s="99"/>
      <c r="I378" s="97" t="str">
        <f t="shared" si="3"/>
        <v>Вино</v>
      </c>
      <c r="J378" s="97" t="s">
        <v>97</v>
      </c>
      <c r="K378" s="97" t="s">
        <v>98</v>
      </c>
      <c r="L378" s="97" t="s">
        <v>99</v>
      </c>
      <c r="M378" s="97" t="s">
        <v>100</v>
      </c>
      <c r="N378" s="97"/>
      <c r="O378" s="97"/>
      <c r="P378" s="97"/>
    </row>
    <row r="379">
      <c r="A379" s="92">
        <f t="shared" si="1"/>
        <v>1</v>
      </c>
      <c r="B379" s="92">
        <f t="shared" si="2"/>
        <v>4</v>
      </c>
      <c r="C379" s="93">
        <v>43198.0</v>
      </c>
      <c r="D379" s="94" t="s">
        <v>80</v>
      </c>
      <c r="E379" s="94" t="s">
        <v>24</v>
      </c>
      <c r="F379" s="94" t="s">
        <v>80</v>
      </c>
      <c r="G379" s="95">
        <v>164.0</v>
      </c>
      <c r="H379" s="99"/>
      <c r="I379" s="97" t="str">
        <f t="shared" si="3"/>
        <v>Такси</v>
      </c>
      <c r="J379" s="97" t="s">
        <v>81</v>
      </c>
      <c r="K379" s="97" t="s">
        <v>82</v>
      </c>
      <c r="L379" s="97" t="s">
        <v>83</v>
      </c>
      <c r="M379" s="97" t="s">
        <v>84</v>
      </c>
      <c r="N379" s="97"/>
      <c r="O379" s="97"/>
      <c r="P379" s="97"/>
    </row>
    <row r="380">
      <c r="A380" s="92">
        <f t="shared" si="1"/>
        <v>1</v>
      </c>
      <c r="B380" s="92">
        <f t="shared" si="2"/>
        <v>4</v>
      </c>
      <c r="C380" s="93">
        <v>43198.0</v>
      </c>
      <c r="D380" s="94" t="s">
        <v>80</v>
      </c>
      <c r="E380" s="94" t="s">
        <v>24</v>
      </c>
      <c r="F380" s="94" t="s">
        <v>80</v>
      </c>
      <c r="G380" s="95">
        <v>200.0</v>
      </c>
      <c r="H380" s="99"/>
      <c r="I380" s="97" t="str">
        <f t="shared" si="3"/>
        <v>Такси</v>
      </c>
      <c r="J380" s="97" t="s">
        <v>81</v>
      </c>
      <c r="K380" s="97" t="s">
        <v>82</v>
      </c>
      <c r="L380" s="97" t="s">
        <v>83</v>
      </c>
      <c r="M380" s="97" t="s">
        <v>84</v>
      </c>
      <c r="N380" s="97"/>
      <c r="O380" s="97"/>
      <c r="P380" s="97"/>
    </row>
    <row r="381">
      <c r="A381" s="92">
        <f t="shared" si="1"/>
        <v>1</v>
      </c>
      <c r="B381" s="92">
        <f t="shared" si="2"/>
        <v>4</v>
      </c>
      <c r="C381" s="93">
        <v>43198.0</v>
      </c>
      <c r="D381" s="94" t="s">
        <v>220</v>
      </c>
      <c r="E381" s="94" t="s">
        <v>15</v>
      </c>
      <c r="F381" s="94" t="s">
        <v>95</v>
      </c>
      <c r="G381" s="95">
        <v>189.0</v>
      </c>
      <c r="H381" s="99"/>
      <c r="I381" s="97" t="str">
        <f t="shared" si="3"/>
        <v>Обед (работа)</v>
      </c>
      <c r="J381" s="97" t="s">
        <v>93</v>
      </c>
      <c r="K381" s="97" t="s">
        <v>94</v>
      </c>
      <c r="L381" s="97" t="s">
        <v>95</v>
      </c>
      <c r="M381" s="97" t="s">
        <v>92</v>
      </c>
      <c r="N381" s="97"/>
      <c r="O381" s="97"/>
      <c r="P381" s="97"/>
    </row>
    <row r="382">
      <c r="A382" s="92">
        <f t="shared" si="1"/>
        <v>1</v>
      </c>
      <c r="B382" s="92">
        <f t="shared" si="2"/>
        <v>4</v>
      </c>
      <c r="C382" s="93">
        <v>43198.0</v>
      </c>
      <c r="D382" s="94" t="s">
        <v>80</v>
      </c>
      <c r="E382" s="94" t="s">
        <v>24</v>
      </c>
      <c r="F382" s="94" t="s">
        <v>80</v>
      </c>
      <c r="G382" s="95">
        <v>120.0</v>
      </c>
      <c r="H382" s="99"/>
      <c r="I382" s="97" t="str">
        <f t="shared" si="3"/>
        <v>Такси</v>
      </c>
      <c r="J382" s="97" t="s">
        <v>81</v>
      </c>
      <c r="K382" s="97" t="s">
        <v>82</v>
      </c>
      <c r="L382" s="97" t="s">
        <v>83</v>
      </c>
      <c r="M382" s="97" t="s">
        <v>84</v>
      </c>
      <c r="N382" s="97"/>
      <c r="O382" s="97"/>
      <c r="P382" s="97"/>
    </row>
    <row r="383">
      <c r="A383" s="92">
        <f t="shared" si="1"/>
        <v>2</v>
      </c>
      <c r="B383" s="92">
        <f t="shared" si="2"/>
        <v>4</v>
      </c>
      <c r="C383" s="93">
        <v>43199.0</v>
      </c>
      <c r="D383" s="94" t="s">
        <v>80</v>
      </c>
      <c r="E383" s="94" t="s">
        <v>24</v>
      </c>
      <c r="F383" s="94" t="s">
        <v>80</v>
      </c>
      <c r="G383" s="95">
        <v>159.0</v>
      </c>
      <c r="H383" s="99"/>
      <c r="I383" s="97" t="str">
        <f t="shared" si="3"/>
        <v>Такси</v>
      </c>
      <c r="J383" s="97" t="s">
        <v>81</v>
      </c>
      <c r="K383" s="97" t="s">
        <v>82</v>
      </c>
      <c r="L383" s="97" t="s">
        <v>83</v>
      </c>
      <c r="M383" s="97" t="s">
        <v>84</v>
      </c>
      <c r="N383" s="97"/>
      <c r="O383" s="97"/>
      <c r="P383" s="97"/>
    </row>
    <row r="384">
      <c r="A384" s="92">
        <f t="shared" si="1"/>
        <v>2</v>
      </c>
      <c r="B384" s="92">
        <f t="shared" si="2"/>
        <v>4</v>
      </c>
      <c r="C384" s="93">
        <v>43199.0</v>
      </c>
      <c r="D384" s="94" t="s">
        <v>83</v>
      </c>
      <c r="E384" s="94" t="s">
        <v>24</v>
      </c>
      <c r="F384" s="94" t="s">
        <v>83</v>
      </c>
      <c r="G384" s="95">
        <v>44.0</v>
      </c>
      <c r="H384" s="99"/>
      <c r="I384" s="97" t="str">
        <f t="shared" si="3"/>
        <v>Такси</v>
      </c>
      <c r="J384" s="97" t="s">
        <v>81</v>
      </c>
      <c r="K384" s="97" t="s">
        <v>82</v>
      </c>
      <c r="L384" s="97" t="s">
        <v>83</v>
      </c>
      <c r="M384" s="97" t="s">
        <v>84</v>
      </c>
      <c r="N384" s="97"/>
      <c r="O384" s="97"/>
      <c r="P384" s="97"/>
    </row>
    <row r="385">
      <c r="A385" s="92">
        <f t="shared" si="1"/>
        <v>2</v>
      </c>
      <c r="B385" s="92">
        <f t="shared" si="2"/>
        <v>4</v>
      </c>
      <c r="C385" s="93">
        <v>43199.0</v>
      </c>
      <c r="D385" s="94" t="s">
        <v>118</v>
      </c>
      <c r="E385" s="94" t="s">
        <v>40</v>
      </c>
      <c r="F385" s="100"/>
      <c r="G385" s="95">
        <v>169.0</v>
      </c>
      <c r="H385" s="99"/>
      <c r="I385" s="97" t="str">
        <f t="shared" si="3"/>
        <v/>
      </c>
      <c r="J385" s="97"/>
      <c r="K385" s="97"/>
      <c r="L385" s="97"/>
      <c r="M385" s="97"/>
      <c r="N385" s="97"/>
      <c r="O385" s="97"/>
      <c r="P385" s="97"/>
    </row>
    <row r="386">
      <c r="A386" s="92">
        <f t="shared" si="1"/>
        <v>2</v>
      </c>
      <c r="B386" s="92">
        <f t="shared" si="2"/>
        <v>4</v>
      </c>
      <c r="C386" s="93">
        <v>43199.0</v>
      </c>
      <c r="D386" s="94" t="s">
        <v>91</v>
      </c>
      <c r="E386" s="94" t="s">
        <v>15</v>
      </c>
      <c r="F386" s="94" t="s">
        <v>117</v>
      </c>
      <c r="G386" s="95">
        <v>330.0</v>
      </c>
      <c r="H386" s="99"/>
      <c r="I386" s="97" t="str">
        <f t="shared" si="3"/>
        <v>Обед (работа)</v>
      </c>
      <c r="J386" s="97" t="s">
        <v>93</v>
      </c>
      <c r="K386" s="97" t="s">
        <v>94</v>
      </c>
      <c r="L386" s="97" t="s">
        <v>95</v>
      </c>
      <c r="M386" s="97" t="s">
        <v>92</v>
      </c>
      <c r="N386" s="97"/>
      <c r="O386" s="97"/>
      <c r="P386" s="97"/>
    </row>
    <row r="387">
      <c r="A387" s="92">
        <f t="shared" si="1"/>
        <v>2</v>
      </c>
      <c r="B387" s="92">
        <f t="shared" si="2"/>
        <v>4</v>
      </c>
      <c r="C387" s="93">
        <v>43199.0</v>
      </c>
      <c r="D387" s="94" t="s">
        <v>26</v>
      </c>
      <c r="E387" s="94" t="s">
        <v>26</v>
      </c>
      <c r="F387" s="100"/>
      <c r="G387" s="95">
        <v>1300.0</v>
      </c>
      <c r="H387" s="99"/>
      <c r="I387" s="97" t="str">
        <f t="shared" si="3"/>
        <v/>
      </c>
      <c r="J387" s="97"/>
      <c r="K387" s="97"/>
      <c r="L387" s="97"/>
      <c r="M387" s="97"/>
      <c r="N387" s="97"/>
      <c r="O387" s="97"/>
      <c r="P387" s="97"/>
    </row>
    <row r="388">
      <c r="A388" s="92">
        <f t="shared" si="1"/>
        <v>3</v>
      </c>
      <c r="B388" s="92">
        <f t="shared" si="2"/>
        <v>4</v>
      </c>
      <c r="C388" s="93">
        <v>43200.0</v>
      </c>
      <c r="D388" s="94" t="s">
        <v>80</v>
      </c>
      <c r="E388" s="94" t="s">
        <v>24</v>
      </c>
      <c r="F388" s="94" t="s">
        <v>80</v>
      </c>
      <c r="G388" s="95">
        <v>119.0</v>
      </c>
      <c r="H388" s="99"/>
      <c r="I388" s="97" t="str">
        <f t="shared" si="3"/>
        <v>Такси</v>
      </c>
      <c r="J388" s="97" t="s">
        <v>81</v>
      </c>
      <c r="K388" s="97" t="s">
        <v>82</v>
      </c>
      <c r="L388" s="97" t="s">
        <v>83</v>
      </c>
      <c r="M388" s="97" t="s">
        <v>84</v>
      </c>
      <c r="N388" s="97"/>
      <c r="O388" s="97"/>
      <c r="P388" s="97"/>
    </row>
    <row r="389">
      <c r="A389" s="92">
        <f t="shared" si="1"/>
        <v>3</v>
      </c>
      <c r="B389" s="92">
        <f t="shared" si="2"/>
        <v>4</v>
      </c>
      <c r="C389" s="93">
        <v>43200.0</v>
      </c>
      <c r="D389" s="94" t="s">
        <v>91</v>
      </c>
      <c r="E389" s="94" t="s">
        <v>15</v>
      </c>
      <c r="F389" s="94" t="s">
        <v>117</v>
      </c>
      <c r="G389" s="95">
        <v>395.0</v>
      </c>
      <c r="H389" s="99"/>
      <c r="I389" s="97" t="str">
        <f t="shared" si="3"/>
        <v>Обед (работа)</v>
      </c>
      <c r="J389" s="97" t="s">
        <v>93</v>
      </c>
      <c r="K389" s="97" t="s">
        <v>94</v>
      </c>
      <c r="L389" s="97" t="s">
        <v>95</v>
      </c>
      <c r="M389" s="97" t="s">
        <v>92</v>
      </c>
      <c r="N389" s="97"/>
      <c r="O389" s="97"/>
      <c r="P389" s="97"/>
    </row>
    <row r="390">
      <c r="A390" s="92">
        <f t="shared" si="1"/>
        <v>4</v>
      </c>
      <c r="B390" s="92">
        <f t="shared" si="2"/>
        <v>4</v>
      </c>
      <c r="C390" s="93">
        <v>43201.0</v>
      </c>
      <c r="D390" s="94" t="s">
        <v>80</v>
      </c>
      <c r="E390" s="94" t="s">
        <v>24</v>
      </c>
      <c r="F390" s="94" t="s">
        <v>80</v>
      </c>
      <c r="G390" s="95">
        <v>121.0</v>
      </c>
      <c r="H390" s="99"/>
      <c r="I390" s="97" t="str">
        <f t="shared" si="3"/>
        <v>Такси</v>
      </c>
      <c r="J390" s="97" t="s">
        <v>81</v>
      </c>
      <c r="K390" s="97" t="s">
        <v>82</v>
      </c>
      <c r="L390" s="97" t="s">
        <v>83</v>
      </c>
      <c r="M390" s="97" t="s">
        <v>84</v>
      </c>
      <c r="N390" s="97"/>
      <c r="O390" s="97"/>
      <c r="P390" s="97"/>
    </row>
    <row r="391">
      <c r="A391" s="92">
        <f t="shared" si="1"/>
        <v>4</v>
      </c>
      <c r="B391" s="92">
        <f t="shared" si="2"/>
        <v>4</v>
      </c>
      <c r="C391" s="93">
        <v>43201.0</v>
      </c>
      <c r="D391" s="94" t="s">
        <v>83</v>
      </c>
      <c r="E391" s="94" t="s">
        <v>24</v>
      </c>
      <c r="F391" s="94" t="s">
        <v>83</v>
      </c>
      <c r="G391" s="95">
        <v>264.0</v>
      </c>
      <c r="H391" s="99"/>
      <c r="I391" s="97" t="str">
        <f t="shared" si="3"/>
        <v>Такси</v>
      </c>
      <c r="J391" s="97" t="s">
        <v>81</v>
      </c>
      <c r="K391" s="97" t="s">
        <v>82</v>
      </c>
      <c r="L391" s="97" t="s">
        <v>83</v>
      </c>
      <c r="M391" s="97" t="s">
        <v>84</v>
      </c>
      <c r="N391" s="97"/>
      <c r="O391" s="97"/>
      <c r="P391" s="97"/>
    </row>
    <row r="392">
      <c r="A392" s="92">
        <f t="shared" si="1"/>
        <v>4</v>
      </c>
      <c r="B392" s="92">
        <f t="shared" si="2"/>
        <v>4</v>
      </c>
      <c r="C392" s="93">
        <v>43201.0</v>
      </c>
      <c r="D392" s="94" t="s">
        <v>80</v>
      </c>
      <c r="E392" s="94" t="s">
        <v>24</v>
      </c>
      <c r="F392" s="94" t="s">
        <v>80</v>
      </c>
      <c r="G392" s="95">
        <v>119.0</v>
      </c>
      <c r="H392" s="99"/>
      <c r="I392" s="97" t="str">
        <f t="shared" si="3"/>
        <v>Такси</v>
      </c>
      <c r="J392" s="97" t="s">
        <v>81</v>
      </c>
      <c r="K392" s="97" t="s">
        <v>82</v>
      </c>
      <c r="L392" s="97" t="s">
        <v>83</v>
      </c>
      <c r="M392" s="97" t="s">
        <v>84</v>
      </c>
      <c r="N392" s="97"/>
      <c r="O392" s="97"/>
      <c r="P392" s="97"/>
    </row>
    <row r="393">
      <c r="A393" s="92">
        <f t="shared" si="1"/>
        <v>4</v>
      </c>
      <c r="B393" s="92">
        <f t="shared" si="2"/>
        <v>4</v>
      </c>
      <c r="C393" s="93">
        <v>43201.0</v>
      </c>
      <c r="D393" s="94" t="s">
        <v>91</v>
      </c>
      <c r="E393" s="94" t="s">
        <v>15</v>
      </c>
      <c r="F393" s="94" t="s">
        <v>117</v>
      </c>
      <c r="G393" s="95">
        <v>270.0</v>
      </c>
      <c r="H393" s="99"/>
      <c r="I393" s="97" t="str">
        <f t="shared" si="3"/>
        <v>Обед (работа)</v>
      </c>
      <c r="J393" s="97" t="s">
        <v>93</v>
      </c>
      <c r="K393" s="97" t="s">
        <v>94</v>
      </c>
      <c r="L393" s="97" t="s">
        <v>95</v>
      </c>
      <c r="M393" s="97" t="s">
        <v>92</v>
      </c>
      <c r="N393" s="97"/>
      <c r="O393" s="97"/>
      <c r="P393" s="97"/>
    </row>
    <row r="394">
      <c r="A394" s="92">
        <f t="shared" si="1"/>
        <v>4</v>
      </c>
      <c r="B394" s="92">
        <f t="shared" si="2"/>
        <v>4</v>
      </c>
      <c r="C394" s="93">
        <v>43201.0</v>
      </c>
      <c r="D394" s="94" t="s">
        <v>26</v>
      </c>
      <c r="E394" s="94" t="s">
        <v>26</v>
      </c>
      <c r="F394" s="100"/>
      <c r="G394" s="95">
        <v>413.0</v>
      </c>
      <c r="H394" s="99"/>
      <c r="I394" s="97" t="str">
        <f t="shared" si="3"/>
        <v/>
      </c>
      <c r="J394" s="97"/>
      <c r="K394" s="97"/>
      <c r="L394" s="97"/>
      <c r="M394" s="97"/>
      <c r="N394" s="97"/>
      <c r="O394" s="97"/>
      <c r="P394" s="97"/>
    </row>
    <row r="395">
      <c r="A395" s="92">
        <f t="shared" si="1"/>
        <v>4</v>
      </c>
      <c r="B395" s="92">
        <f t="shared" si="2"/>
        <v>4</v>
      </c>
      <c r="C395" s="93">
        <v>43201.0</v>
      </c>
      <c r="D395" s="94" t="s">
        <v>102</v>
      </c>
      <c r="E395" s="94" t="s">
        <v>21</v>
      </c>
      <c r="F395" s="94" t="s">
        <v>102</v>
      </c>
      <c r="G395" s="95">
        <v>450.0</v>
      </c>
      <c r="H395" s="99"/>
      <c r="I395" s="97" t="str">
        <f t="shared" si="3"/>
        <v>Вино</v>
      </c>
      <c r="J395" s="97" t="s">
        <v>97</v>
      </c>
      <c r="K395" s="97" t="s">
        <v>98</v>
      </c>
      <c r="L395" s="97" t="s">
        <v>99</v>
      </c>
      <c r="M395" s="97" t="s">
        <v>100</v>
      </c>
      <c r="N395" s="97"/>
      <c r="O395" s="97"/>
      <c r="P395" s="97"/>
    </row>
    <row r="396">
      <c r="A396" s="92">
        <f t="shared" si="1"/>
        <v>5</v>
      </c>
      <c r="B396" s="92">
        <f t="shared" si="2"/>
        <v>4</v>
      </c>
      <c r="C396" s="93">
        <v>43202.0</v>
      </c>
      <c r="D396" s="94" t="s">
        <v>221</v>
      </c>
      <c r="E396" s="94" t="s">
        <v>48</v>
      </c>
      <c r="F396" s="100"/>
      <c r="G396" s="95">
        <v>299.0</v>
      </c>
      <c r="H396" s="99"/>
      <c r="I396" s="97" t="str">
        <f t="shared" si="3"/>
        <v/>
      </c>
      <c r="J396" s="97"/>
      <c r="K396" s="97"/>
      <c r="L396" s="97"/>
      <c r="M396" s="97"/>
      <c r="N396" s="97"/>
      <c r="O396" s="97"/>
      <c r="P396" s="97"/>
    </row>
    <row r="397">
      <c r="A397" s="92">
        <f t="shared" si="1"/>
        <v>5</v>
      </c>
      <c r="B397" s="92">
        <f t="shared" si="2"/>
        <v>4</v>
      </c>
      <c r="C397" s="93">
        <v>43202.0</v>
      </c>
      <c r="D397" s="94" t="s">
        <v>83</v>
      </c>
      <c r="E397" s="94" t="s">
        <v>24</v>
      </c>
      <c r="F397" s="94" t="s">
        <v>83</v>
      </c>
      <c r="G397" s="95">
        <v>44.0</v>
      </c>
      <c r="H397" s="99"/>
      <c r="I397" s="97" t="str">
        <f t="shared" si="3"/>
        <v>Такси</v>
      </c>
      <c r="J397" s="97" t="s">
        <v>81</v>
      </c>
      <c r="K397" s="97" t="s">
        <v>82</v>
      </c>
      <c r="L397" s="97" t="s">
        <v>83</v>
      </c>
      <c r="M397" s="97" t="s">
        <v>84</v>
      </c>
      <c r="N397" s="97"/>
      <c r="O397" s="97"/>
      <c r="P397" s="97"/>
    </row>
    <row r="398">
      <c r="A398" s="92">
        <f t="shared" si="1"/>
        <v>5</v>
      </c>
      <c r="B398" s="92">
        <f t="shared" si="2"/>
        <v>4</v>
      </c>
      <c r="C398" s="93">
        <v>43202.0</v>
      </c>
      <c r="D398" s="94" t="s">
        <v>91</v>
      </c>
      <c r="E398" s="94" t="s">
        <v>15</v>
      </c>
      <c r="F398" s="94" t="s">
        <v>117</v>
      </c>
      <c r="G398" s="95">
        <v>225.0</v>
      </c>
      <c r="H398" s="99"/>
      <c r="I398" s="97" t="str">
        <f t="shared" si="3"/>
        <v>Обед (работа)</v>
      </c>
      <c r="J398" s="97" t="s">
        <v>93</v>
      </c>
      <c r="K398" s="97" t="s">
        <v>94</v>
      </c>
      <c r="L398" s="97" t="s">
        <v>95</v>
      </c>
      <c r="M398" s="97" t="s">
        <v>92</v>
      </c>
      <c r="N398" s="97"/>
      <c r="O398" s="97"/>
      <c r="P398" s="97"/>
    </row>
    <row r="399">
      <c r="A399" s="92">
        <f t="shared" si="1"/>
        <v>5</v>
      </c>
      <c r="B399" s="92">
        <f t="shared" si="2"/>
        <v>4</v>
      </c>
      <c r="C399" s="93">
        <v>43202.0</v>
      </c>
      <c r="D399" s="94" t="s">
        <v>222</v>
      </c>
      <c r="E399" s="94" t="s">
        <v>15</v>
      </c>
      <c r="F399" s="94" t="s">
        <v>95</v>
      </c>
      <c r="G399" s="95">
        <v>150.0</v>
      </c>
      <c r="H399" s="99"/>
      <c r="I399" s="97" t="str">
        <f t="shared" si="3"/>
        <v>Обед (работа)</v>
      </c>
      <c r="J399" s="97" t="s">
        <v>93</v>
      </c>
      <c r="K399" s="97" t="s">
        <v>94</v>
      </c>
      <c r="L399" s="97" t="s">
        <v>95</v>
      </c>
      <c r="M399" s="97" t="s">
        <v>92</v>
      </c>
      <c r="N399" s="97"/>
      <c r="O399" s="97"/>
      <c r="P399" s="97"/>
    </row>
    <row r="400">
      <c r="A400" s="92">
        <f t="shared" si="1"/>
        <v>5</v>
      </c>
      <c r="B400" s="92">
        <f t="shared" si="2"/>
        <v>4</v>
      </c>
      <c r="C400" s="93">
        <v>43202.0</v>
      </c>
      <c r="D400" s="94" t="s">
        <v>86</v>
      </c>
      <c r="E400" s="94" t="s">
        <v>30</v>
      </c>
      <c r="F400" s="94" t="s">
        <v>86</v>
      </c>
      <c r="G400" s="95">
        <v>1200.0</v>
      </c>
      <c r="H400" s="99"/>
      <c r="I400" s="97" t="str">
        <f t="shared" si="3"/>
        <v>Бар</v>
      </c>
      <c r="J400" s="97" t="s">
        <v>87</v>
      </c>
      <c r="K400" s="97" t="s">
        <v>88</v>
      </c>
      <c r="L400" s="97" t="s">
        <v>89</v>
      </c>
      <c r="M400" s="97" t="s">
        <v>90</v>
      </c>
      <c r="N400" s="97"/>
      <c r="O400" s="97"/>
      <c r="P400" s="97"/>
    </row>
    <row r="401">
      <c r="A401" s="92">
        <f t="shared" si="1"/>
        <v>5</v>
      </c>
      <c r="B401" s="92">
        <f t="shared" si="2"/>
        <v>4</v>
      </c>
      <c r="C401" s="93">
        <v>43202.0</v>
      </c>
      <c r="D401" s="94" t="s">
        <v>80</v>
      </c>
      <c r="E401" s="94" t="s">
        <v>24</v>
      </c>
      <c r="F401" s="94" t="s">
        <v>80</v>
      </c>
      <c r="G401" s="95">
        <v>118.0</v>
      </c>
      <c r="H401" s="99"/>
      <c r="I401" s="97" t="str">
        <f t="shared" si="3"/>
        <v>Такси</v>
      </c>
      <c r="J401" s="97" t="s">
        <v>81</v>
      </c>
      <c r="K401" s="97" t="s">
        <v>82</v>
      </c>
      <c r="L401" s="97" t="s">
        <v>83</v>
      </c>
      <c r="M401" s="97" t="s">
        <v>84</v>
      </c>
      <c r="N401" s="97"/>
      <c r="O401" s="97"/>
      <c r="P401" s="97"/>
    </row>
    <row r="402">
      <c r="A402" s="92">
        <f t="shared" si="1"/>
        <v>6</v>
      </c>
      <c r="B402" s="92">
        <f t="shared" si="2"/>
        <v>4</v>
      </c>
      <c r="C402" s="93">
        <v>43203.0</v>
      </c>
      <c r="D402" s="94" t="s">
        <v>189</v>
      </c>
      <c r="E402" s="94" t="s">
        <v>43</v>
      </c>
      <c r="F402" s="100"/>
      <c r="G402" s="95">
        <v>1000.0</v>
      </c>
      <c r="H402" s="99"/>
      <c r="I402" s="97" t="str">
        <f t="shared" si="3"/>
        <v/>
      </c>
      <c r="J402" s="97"/>
      <c r="K402" s="97"/>
      <c r="L402" s="97"/>
      <c r="M402" s="97"/>
      <c r="N402" s="97"/>
      <c r="O402" s="97"/>
      <c r="P402" s="97"/>
    </row>
    <row r="403">
      <c r="A403" s="92">
        <f t="shared" si="1"/>
        <v>6</v>
      </c>
      <c r="B403" s="92">
        <f t="shared" si="2"/>
        <v>4</v>
      </c>
      <c r="C403" s="93">
        <v>43203.0</v>
      </c>
      <c r="D403" s="94" t="s">
        <v>223</v>
      </c>
      <c r="E403" s="94" t="s">
        <v>30</v>
      </c>
      <c r="F403" s="94" t="s">
        <v>86</v>
      </c>
      <c r="G403" s="95">
        <v>1000.0</v>
      </c>
      <c r="H403" s="99"/>
      <c r="I403" s="97" t="str">
        <f t="shared" si="3"/>
        <v>Бар</v>
      </c>
      <c r="J403" s="97" t="s">
        <v>87</v>
      </c>
      <c r="K403" s="97" t="s">
        <v>88</v>
      </c>
      <c r="L403" s="97" t="s">
        <v>89</v>
      </c>
      <c r="M403" s="97" t="s">
        <v>90</v>
      </c>
      <c r="N403" s="97"/>
      <c r="O403" s="97"/>
      <c r="P403" s="97"/>
    </row>
    <row r="404">
      <c r="A404" s="92">
        <f t="shared" si="1"/>
        <v>7</v>
      </c>
      <c r="B404" s="92">
        <f t="shared" si="2"/>
        <v>4</v>
      </c>
      <c r="C404" s="93">
        <v>43204.0</v>
      </c>
      <c r="D404" s="101" t="s">
        <v>124</v>
      </c>
      <c r="E404" s="100"/>
      <c r="F404" s="100"/>
      <c r="G404" s="95">
        <v>0.0</v>
      </c>
      <c r="H404" s="99"/>
      <c r="I404" s="97" t="str">
        <f t="shared" si="3"/>
        <v/>
      </c>
      <c r="J404" s="97"/>
      <c r="K404" s="97"/>
      <c r="L404" s="97"/>
      <c r="M404" s="97"/>
      <c r="N404" s="97"/>
      <c r="O404" s="97"/>
      <c r="P404" s="97"/>
    </row>
    <row r="405">
      <c r="A405" s="92">
        <f t="shared" si="1"/>
        <v>1</v>
      </c>
      <c r="B405" s="92">
        <f t="shared" si="2"/>
        <v>4</v>
      </c>
      <c r="C405" s="93">
        <v>43205.0</v>
      </c>
      <c r="D405" s="94" t="s">
        <v>80</v>
      </c>
      <c r="E405" s="94" t="s">
        <v>24</v>
      </c>
      <c r="F405" s="94" t="s">
        <v>80</v>
      </c>
      <c r="G405" s="95">
        <v>520.0</v>
      </c>
      <c r="H405" s="99"/>
      <c r="I405" s="97" t="str">
        <f t="shared" si="3"/>
        <v>Такси</v>
      </c>
      <c r="J405" s="97" t="s">
        <v>81</v>
      </c>
      <c r="K405" s="97" t="s">
        <v>82</v>
      </c>
      <c r="L405" s="97" t="s">
        <v>83</v>
      </c>
      <c r="M405" s="97" t="s">
        <v>84</v>
      </c>
      <c r="N405" s="97"/>
      <c r="O405" s="97"/>
      <c r="P405" s="97"/>
    </row>
    <row r="406">
      <c r="A406" s="92">
        <f t="shared" si="1"/>
        <v>1</v>
      </c>
      <c r="B406" s="92">
        <f t="shared" si="2"/>
        <v>4</v>
      </c>
      <c r="C406" s="93">
        <v>43205.0</v>
      </c>
      <c r="D406" s="94" t="s">
        <v>102</v>
      </c>
      <c r="E406" s="94" t="s">
        <v>21</v>
      </c>
      <c r="F406" s="94" t="s">
        <v>102</v>
      </c>
      <c r="G406" s="95">
        <v>1000.0</v>
      </c>
      <c r="H406" s="99"/>
      <c r="I406" s="97" t="str">
        <f t="shared" si="3"/>
        <v>Вино</v>
      </c>
      <c r="J406" s="97" t="s">
        <v>97</v>
      </c>
      <c r="K406" s="97" t="s">
        <v>98</v>
      </c>
      <c r="L406" s="97" t="s">
        <v>99</v>
      </c>
      <c r="M406" s="97" t="s">
        <v>100</v>
      </c>
      <c r="N406" s="97"/>
      <c r="O406" s="97"/>
      <c r="P406" s="97"/>
    </row>
    <row r="407">
      <c r="A407" s="92">
        <f t="shared" si="1"/>
        <v>1</v>
      </c>
      <c r="B407" s="92">
        <f t="shared" si="2"/>
        <v>4</v>
      </c>
      <c r="C407" s="93">
        <v>43205.0</v>
      </c>
      <c r="D407" s="94" t="s">
        <v>224</v>
      </c>
      <c r="E407" s="94" t="s">
        <v>18</v>
      </c>
      <c r="F407" s="94" t="s">
        <v>120</v>
      </c>
      <c r="G407" s="95">
        <v>1000.0</v>
      </c>
      <c r="H407" s="99"/>
      <c r="I407" s="97" t="str">
        <f t="shared" si="3"/>
        <v>Родственники</v>
      </c>
      <c r="J407" s="97" t="s">
        <v>116</v>
      </c>
      <c r="K407" s="97" t="s">
        <v>115</v>
      </c>
      <c r="L407" s="97"/>
      <c r="M407" s="97"/>
      <c r="N407" s="97"/>
      <c r="O407" s="97"/>
      <c r="P407" s="97"/>
    </row>
    <row r="408">
      <c r="A408" s="92">
        <f t="shared" si="1"/>
        <v>2</v>
      </c>
      <c r="B408" s="92">
        <f t="shared" si="2"/>
        <v>4</v>
      </c>
      <c r="C408" s="93">
        <v>43206.0</v>
      </c>
      <c r="D408" s="94" t="s">
        <v>138</v>
      </c>
      <c r="E408" s="94" t="s">
        <v>24</v>
      </c>
      <c r="F408" s="94" t="s">
        <v>82</v>
      </c>
      <c r="G408" s="95">
        <v>100.0</v>
      </c>
      <c r="H408" s="99"/>
      <c r="I408" s="97" t="str">
        <f t="shared" si="3"/>
        <v>Такси</v>
      </c>
      <c r="J408" s="97" t="s">
        <v>81</v>
      </c>
      <c r="K408" s="97" t="s">
        <v>82</v>
      </c>
      <c r="L408" s="97" t="s">
        <v>83</v>
      </c>
      <c r="M408" s="97" t="s">
        <v>84</v>
      </c>
      <c r="N408" s="97"/>
      <c r="O408" s="97"/>
      <c r="P408" s="97"/>
    </row>
    <row r="409">
      <c r="A409" s="92">
        <f t="shared" si="1"/>
        <v>2</v>
      </c>
      <c r="B409" s="92">
        <f t="shared" si="2"/>
        <v>4</v>
      </c>
      <c r="C409" s="93">
        <v>43206.0</v>
      </c>
      <c r="D409" s="94" t="s">
        <v>83</v>
      </c>
      <c r="E409" s="94" t="s">
        <v>24</v>
      </c>
      <c r="F409" s="94" t="s">
        <v>83</v>
      </c>
      <c r="G409" s="95">
        <v>144.0</v>
      </c>
      <c r="H409" s="99"/>
      <c r="I409" s="97" t="str">
        <f t="shared" si="3"/>
        <v>Такси</v>
      </c>
      <c r="J409" s="97" t="s">
        <v>81</v>
      </c>
      <c r="K409" s="97" t="s">
        <v>82</v>
      </c>
      <c r="L409" s="97" t="s">
        <v>83</v>
      </c>
      <c r="M409" s="97" t="s">
        <v>84</v>
      </c>
      <c r="N409" s="97"/>
      <c r="O409" s="97"/>
      <c r="P409" s="97"/>
    </row>
    <row r="410">
      <c r="A410" s="92">
        <f t="shared" si="1"/>
        <v>2</v>
      </c>
      <c r="B410" s="92">
        <f t="shared" si="2"/>
        <v>4</v>
      </c>
      <c r="C410" s="93">
        <v>43206.0</v>
      </c>
      <c r="D410" s="94" t="s">
        <v>135</v>
      </c>
      <c r="E410" s="94" t="s">
        <v>18</v>
      </c>
      <c r="F410" s="94" t="s">
        <v>115</v>
      </c>
      <c r="G410" s="95">
        <v>300.0</v>
      </c>
      <c r="H410" s="99"/>
      <c r="I410" s="97" t="str">
        <f t="shared" si="3"/>
        <v>Родственники</v>
      </c>
      <c r="J410" s="97" t="s">
        <v>116</v>
      </c>
      <c r="K410" s="97" t="s">
        <v>115</v>
      </c>
      <c r="L410" s="97"/>
      <c r="M410" s="97"/>
      <c r="N410" s="97"/>
      <c r="O410" s="97"/>
      <c r="P410" s="97"/>
    </row>
    <row r="411">
      <c r="A411" s="92">
        <f t="shared" si="1"/>
        <v>3</v>
      </c>
      <c r="B411" s="92">
        <f t="shared" si="2"/>
        <v>4</v>
      </c>
      <c r="C411" s="93">
        <v>43207.0</v>
      </c>
      <c r="D411" s="94" t="s">
        <v>80</v>
      </c>
      <c r="E411" s="94" t="s">
        <v>24</v>
      </c>
      <c r="F411" s="94" t="s">
        <v>80</v>
      </c>
      <c r="G411" s="95">
        <v>112.0</v>
      </c>
      <c r="H411" s="99"/>
      <c r="I411" s="97" t="str">
        <f t="shared" si="3"/>
        <v>Такси</v>
      </c>
      <c r="J411" s="97" t="s">
        <v>81</v>
      </c>
      <c r="K411" s="97" t="s">
        <v>82</v>
      </c>
      <c r="L411" s="97" t="s">
        <v>83</v>
      </c>
      <c r="M411" s="97" t="s">
        <v>84</v>
      </c>
      <c r="N411" s="97"/>
      <c r="O411" s="97"/>
      <c r="P411" s="97"/>
    </row>
    <row r="412">
      <c r="A412" s="92">
        <f t="shared" si="1"/>
        <v>3</v>
      </c>
      <c r="B412" s="92">
        <f t="shared" si="2"/>
        <v>4</v>
      </c>
      <c r="C412" s="93">
        <v>43207.0</v>
      </c>
      <c r="D412" s="94" t="s">
        <v>91</v>
      </c>
      <c r="E412" s="94" t="s">
        <v>15</v>
      </c>
      <c r="F412" s="94" t="s">
        <v>93</v>
      </c>
      <c r="G412" s="95">
        <v>233.0</v>
      </c>
      <c r="H412" s="99"/>
      <c r="I412" s="97" t="str">
        <f t="shared" si="3"/>
        <v>Обед (работа)</v>
      </c>
      <c r="J412" s="97" t="s">
        <v>93</v>
      </c>
      <c r="K412" s="97" t="s">
        <v>94</v>
      </c>
      <c r="L412" s="97" t="s">
        <v>95</v>
      </c>
      <c r="M412" s="97" t="s">
        <v>92</v>
      </c>
      <c r="N412" s="97"/>
      <c r="O412" s="97"/>
      <c r="P412" s="97"/>
    </row>
    <row r="413">
      <c r="A413" s="92">
        <f t="shared" si="1"/>
        <v>3</v>
      </c>
      <c r="B413" s="92">
        <f t="shared" si="2"/>
        <v>4</v>
      </c>
      <c r="C413" s="93">
        <v>43207.0</v>
      </c>
      <c r="D413" s="94" t="s">
        <v>220</v>
      </c>
      <c r="E413" s="94" t="s">
        <v>15</v>
      </c>
      <c r="F413" s="94" t="s">
        <v>95</v>
      </c>
      <c r="G413" s="95">
        <v>55.0</v>
      </c>
      <c r="H413" s="99"/>
      <c r="I413" s="97" t="str">
        <f t="shared" si="3"/>
        <v>Обед (работа)</v>
      </c>
      <c r="J413" s="97" t="s">
        <v>93</v>
      </c>
      <c r="K413" s="97" t="s">
        <v>94</v>
      </c>
      <c r="L413" s="97" t="s">
        <v>95</v>
      </c>
      <c r="M413" s="97" t="s">
        <v>92</v>
      </c>
      <c r="N413" s="97"/>
      <c r="O413" s="97"/>
      <c r="P413" s="97"/>
    </row>
    <row r="414">
      <c r="A414" s="92">
        <f t="shared" si="1"/>
        <v>3</v>
      </c>
      <c r="B414" s="92">
        <f t="shared" si="2"/>
        <v>4</v>
      </c>
      <c r="C414" s="93">
        <v>43207.0</v>
      </c>
      <c r="D414" s="94" t="s">
        <v>26</v>
      </c>
      <c r="E414" s="94" t="s">
        <v>26</v>
      </c>
      <c r="F414" s="100"/>
      <c r="G414" s="95">
        <v>320.0</v>
      </c>
      <c r="H414" s="99"/>
      <c r="I414" s="97" t="str">
        <f t="shared" si="3"/>
        <v/>
      </c>
      <c r="J414" s="97"/>
      <c r="K414" s="97"/>
      <c r="L414" s="97"/>
      <c r="M414" s="97"/>
      <c r="N414" s="97"/>
      <c r="O414" s="97"/>
      <c r="P414" s="97"/>
    </row>
    <row r="415">
      <c r="A415" s="92">
        <f t="shared" si="1"/>
        <v>3</v>
      </c>
      <c r="B415" s="92">
        <f t="shared" si="2"/>
        <v>4</v>
      </c>
      <c r="C415" s="93">
        <v>43207.0</v>
      </c>
      <c r="D415" s="94" t="s">
        <v>225</v>
      </c>
      <c r="E415" s="94" t="s">
        <v>18</v>
      </c>
      <c r="F415" s="94" t="s">
        <v>115</v>
      </c>
      <c r="G415" s="95">
        <v>300.0</v>
      </c>
      <c r="H415" s="99"/>
      <c r="I415" s="97" t="str">
        <f t="shared" si="3"/>
        <v>Родственники</v>
      </c>
      <c r="J415" s="97" t="s">
        <v>116</v>
      </c>
      <c r="K415" s="97" t="s">
        <v>115</v>
      </c>
      <c r="L415" s="97"/>
      <c r="M415" s="97"/>
      <c r="N415" s="97"/>
      <c r="O415" s="97"/>
      <c r="P415" s="97"/>
    </row>
    <row r="416">
      <c r="A416" s="92">
        <f t="shared" si="1"/>
        <v>4</v>
      </c>
      <c r="B416" s="92">
        <f t="shared" si="2"/>
        <v>4</v>
      </c>
      <c r="C416" s="93">
        <v>43208.0</v>
      </c>
      <c r="D416" s="94" t="s">
        <v>80</v>
      </c>
      <c r="E416" s="94" t="s">
        <v>24</v>
      </c>
      <c r="F416" s="94" t="s">
        <v>80</v>
      </c>
      <c r="G416" s="95">
        <v>112.0</v>
      </c>
      <c r="H416" s="99"/>
      <c r="I416" s="97" t="str">
        <f t="shared" si="3"/>
        <v>Такси</v>
      </c>
      <c r="J416" s="97" t="s">
        <v>81</v>
      </c>
      <c r="K416" s="97" t="s">
        <v>82</v>
      </c>
      <c r="L416" s="97" t="s">
        <v>83</v>
      </c>
      <c r="M416" s="97" t="s">
        <v>84</v>
      </c>
      <c r="N416" s="97"/>
      <c r="O416" s="97"/>
      <c r="P416" s="97"/>
    </row>
    <row r="417">
      <c r="A417" s="92">
        <f t="shared" si="1"/>
        <v>4</v>
      </c>
      <c r="B417" s="92">
        <f t="shared" si="2"/>
        <v>4</v>
      </c>
      <c r="C417" s="93">
        <v>43208.0</v>
      </c>
      <c r="D417" s="94" t="s">
        <v>138</v>
      </c>
      <c r="E417" s="94" t="s">
        <v>24</v>
      </c>
      <c r="F417" s="94" t="s">
        <v>82</v>
      </c>
      <c r="G417" s="95">
        <v>200.0</v>
      </c>
      <c r="H417" s="99"/>
      <c r="I417" s="97" t="str">
        <f t="shared" si="3"/>
        <v>Такси</v>
      </c>
      <c r="J417" s="97" t="s">
        <v>81</v>
      </c>
      <c r="K417" s="97" t="s">
        <v>82</v>
      </c>
      <c r="L417" s="97" t="s">
        <v>83</v>
      </c>
      <c r="M417" s="97" t="s">
        <v>84</v>
      </c>
      <c r="N417" s="97"/>
      <c r="O417" s="97"/>
      <c r="P417" s="97"/>
    </row>
    <row r="418">
      <c r="A418" s="92">
        <f t="shared" si="1"/>
        <v>4</v>
      </c>
      <c r="B418" s="92">
        <f t="shared" si="2"/>
        <v>4</v>
      </c>
      <c r="C418" s="93">
        <v>43208.0</v>
      </c>
      <c r="D418" s="94" t="s">
        <v>91</v>
      </c>
      <c r="E418" s="94" t="s">
        <v>15</v>
      </c>
      <c r="F418" s="94" t="s">
        <v>117</v>
      </c>
      <c r="G418" s="95">
        <v>293.0</v>
      </c>
      <c r="H418" s="99"/>
      <c r="I418" s="97" t="str">
        <f t="shared" si="3"/>
        <v>Обед (работа)</v>
      </c>
      <c r="J418" s="97" t="s">
        <v>93</v>
      </c>
      <c r="K418" s="97" t="s">
        <v>94</v>
      </c>
      <c r="L418" s="97" t="s">
        <v>95</v>
      </c>
      <c r="M418" s="97" t="s">
        <v>92</v>
      </c>
      <c r="N418" s="97"/>
      <c r="O418" s="97"/>
      <c r="P418" s="97"/>
    </row>
    <row r="419">
      <c r="A419" s="92">
        <f t="shared" si="1"/>
        <v>4</v>
      </c>
      <c r="B419" s="92">
        <f t="shared" si="2"/>
        <v>4</v>
      </c>
      <c r="C419" s="93">
        <v>43208.0</v>
      </c>
      <c r="D419" s="94" t="s">
        <v>93</v>
      </c>
      <c r="E419" s="94" t="s">
        <v>15</v>
      </c>
      <c r="F419" s="94" t="s">
        <v>93</v>
      </c>
      <c r="G419" s="95">
        <v>215.0</v>
      </c>
      <c r="H419" s="99"/>
      <c r="I419" s="97" t="str">
        <f t="shared" si="3"/>
        <v>Обед (работа)</v>
      </c>
      <c r="J419" s="97" t="s">
        <v>93</v>
      </c>
      <c r="K419" s="97" t="s">
        <v>94</v>
      </c>
      <c r="L419" s="97" t="s">
        <v>95</v>
      </c>
      <c r="M419" s="97" t="s">
        <v>92</v>
      </c>
      <c r="N419" s="97"/>
      <c r="O419" s="97"/>
      <c r="P419" s="97"/>
    </row>
    <row r="420">
      <c r="A420" s="92">
        <f t="shared" si="1"/>
        <v>4</v>
      </c>
      <c r="B420" s="92">
        <f t="shared" si="2"/>
        <v>4</v>
      </c>
      <c r="C420" s="93">
        <v>43208.0</v>
      </c>
      <c r="D420" s="94" t="s">
        <v>226</v>
      </c>
      <c r="E420" s="94" t="s">
        <v>15</v>
      </c>
      <c r="F420" s="94" t="s">
        <v>110</v>
      </c>
      <c r="G420" s="95">
        <v>446.0</v>
      </c>
      <c r="H420" s="99"/>
      <c r="I420" s="97" t="str">
        <f t="shared" si="3"/>
        <v>Обед (работа)</v>
      </c>
      <c r="J420" s="97" t="s">
        <v>93</v>
      </c>
      <c r="K420" s="97" t="s">
        <v>94</v>
      </c>
      <c r="L420" s="97" t="s">
        <v>95</v>
      </c>
      <c r="M420" s="97" t="s">
        <v>92</v>
      </c>
      <c r="N420" s="97"/>
      <c r="O420" s="97"/>
      <c r="P420" s="97"/>
    </row>
    <row r="421">
      <c r="A421" s="92">
        <f t="shared" si="1"/>
        <v>4</v>
      </c>
      <c r="B421" s="92">
        <f t="shared" si="2"/>
        <v>4</v>
      </c>
      <c r="C421" s="93">
        <v>43208.0</v>
      </c>
      <c r="D421" s="94" t="s">
        <v>227</v>
      </c>
      <c r="E421" s="94" t="s">
        <v>37</v>
      </c>
      <c r="F421" s="100"/>
      <c r="G421" s="95">
        <v>182.0</v>
      </c>
      <c r="H421" s="99"/>
      <c r="I421" s="97" t="str">
        <f t="shared" si="3"/>
        <v/>
      </c>
      <c r="J421" s="97"/>
      <c r="K421" s="97"/>
      <c r="L421" s="97"/>
      <c r="M421" s="97"/>
      <c r="N421" s="97"/>
      <c r="O421" s="97"/>
      <c r="P421" s="97"/>
    </row>
    <row r="422">
      <c r="A422" s="92">
        <f t="shared" si="1"/>
        <v>4</v>
      </c>
      <c r="B422" s="92">
        <f t="shared" si="2"/>
        <v>4</v>
      </c>
      <c r="C422" s="93">
        <v>43208.0</v>
      </c>
      <c r="D422" s="94" t="s">
        <v>102</v>
      </c>
      <c r="E422" s="94" t="s">
        <v>21</v>
      </c>
      <c r="F422" s="94" t="s">
        <v>102</v>
      </c>
      <c r="G422" s="95">
        <v>500.0</v>
      </c>
      <c r="H422" s="99"/>
      <c r="I422" s="97" t="str">
        <f t="shared" si="3"/>
        <v>Вино</v>
      </c>
      <c r="J422" s="97" t="s">
        <v>97</v>
      </c>
      <c r="K422" s="97" t="s">
        <v>98</v>
      </c>
      <c r="L422" s="97" t="s">
        <v>99</v>
      </c>
      <c r="M422" s="97" t="s">
        <v>100</v>
      </c>
      <c r="N422" s="97"/>
      <c r="O422" s="97"/>
      <c r="P422" s="97"/>
    </row>
    <row r="423">
      <c r="A423" s="92">
        <f t="shared" si="1"/>
        <v>4</v>
      </c>
      <c r="B423" s="92">
        <f t="shared" si="2"/>
        <v>4</v>
      </c>
      <c r="C423" s="93">
        <v>43208.0</v>
      </c>
      <c r="D423" s="94" t="s">
        <v>80</v>
      </c>
      <c r="E423" s="94" t="s">
        <v>24</v>
      </c>
      <c r="F423" s="94" t="s">
        <v>80</v>
      </c>
      <c r="G423" s="95">
        <v>134.0</v>
      </c>
      <c r="H423" s="99"/>
      <c r="I423" s="97" t="str">
        <f t="shared" si="3"/>
        <v>Такси</v>
      </c>
      <c r="J423" s="97" t="s">
        <v>81</v>
      </c>
      <c r="K423" s="97" t="s">
        <v>82</v>
      </c>
      <c r="L423" s="97" t="s">
        <v>83</v>
      </c>
      <c r="M423" s="97" t="s">
        <v>84</v>
      </c>
      <c r="N423" s="97"/>
      <c r="O423" s="97"/>
      <c r="P423" s="97"/>
    </row>
    <row r="424">
      <c r="A424" s="92">
        <f t="shared" si="1"/>
        <v>5</v>
      </c>
      <c r="B424" s="92">
        <f t="shared" si="2"/>
        <v>4</v>
      </c>
      <c r="C424" s="93">
        <v>43209.0</v>
      </c>
      <c r="D424" s="94" t="s">
        <v>80</v>
      </c>
      <c r="E424" s="94" t="s">
        <v>24</v>
      </c>
      <c r="F424" s="94" t="s">
        <v>80</v>
      </c>
      <c r="G424" s="95">
        <v>124.0</v>
      </c>
      <c r="H424" s="99"/>
      <c r="I424" s="97" t="str">
        <f t="shared" si="3"/>
        <v>Такси</v>
      </c>
      <c r="J424" s="97" t="s">
        <v>81</v>
      </c>
      <c r="K424" s="97" t="s">
        <v>82</v>
      </c>
      <c r="L424" s="97" t="s">
        <v>83</v>
      </c>
      <c r="M424" s="97" t="s">
        <v>84</v>
      </c>
      <c r="N424" s="97"/>
      <c r="O424" s="97"/>
      <c r="P424" s="97"/>
    </row>
    <row r="425">
      <c r="A425" s="92">
        <f t="shared" si="1"/>
        <v>5</v>
      </c>
      <c r="B425" s="92">
        <f t="shared" si="2"/>
        <v>4</v>
      </c>
      <c r="C425" s="93">
        <v>43209.0</v>
      </c>
      <c r="D425" s="94" t="s">
        <v>91</v>
      </c>
      <c r="E425" s="94" t="s">
        <v>15</v>
      </c>
      <c r="F425" s="94" t="s">
        <v>117</v>
      </c>
      <c r="G425" s="95">
        <v>270.0</v>
      </c>
      <c r="H425" s="99"/>
      <c r="I425" s="97" t="str">
        <f t="shared" si="3"/>
        <v>Обед (работа)</v>
      </c>
      <c r="J425" s="97" t="s">
        <v>93</v>
      </c>
      <c r="K425" s="97" t="s">
        <v>94</v>
      </c>
      <c r="L425" s="97" t="s">
        <v>95</v>
      </c>
      <c r="M425" s="97" t="s">
        <v>92</v>
      </c>
      <c r="N425" s="97"/>
      <c r="O425" s="97"/>
      <c r="P425" s="97"/>
    </row>
    <row r="426">
      <c r="A426" s="92">
        <f t="shared" si="1"/>
        <v>5</v>
      </c>
      <c r="B426" s="92">
        <f t="shared" si="2"/>
        <v>4</v>
      </c>
      <c r="C426" s="93">
        <v>43209.0</v>
      </c>
      <c r="D426" s="94" t="s">
        <v>93</v>
      </c>
      <c r="E426" s="94" t="s">
        <v>15</v>
      </c>
      <c r="F426" s="94" t="s">
        <v>93</v>
      </c>
      <c r="G426" s="95">
        <v>125.0</v>
      </c>
      <c r="H426" s="99"/>
      <c r="I426" s="97" t="str">
        <f t="shared" si="3"/>
        <v>Обед (работа)</v>
      </c>
      <c r="J426" s="97" t="s">
        <v>93</v>
      </c>
      <c r="K426" s="97" t="s">
        <v>94</v>
      </c>
      <c r="L426" s="97" t="s">
        <v>95</v>
      </c>
      <c r="M426" s="97" t="s">
        <v>92</v>
      </c>
      <c r="N426" s="97"/>
      <c r="O426" s="97"/>
      <c r="P426" s="97"/>
    </row>
    <row r="427">
      <c r="A427" s="92">
        <f t="shared" si="1"/>
        <v>5</v>
      </c>
      <c r="B427" s="92">
        <f t="shared" si="2"/>
        <v>4</v>
      </c>
      <c r="C427" s="93">
        <v>43209.0</v>
      </c>
      <c r="D427" s="94" t="s">
        <v>228</v>
      </c>
      <c r="E427" s="94" t="s">
        <v>34</v>
      </c>
      <c r="F427" s="100"/>
      <c r="G427" s="95">
        <v>999.0</v>
      </c>
      <c r="H427" s="99"/>
      <c r="I427" s="97" t="str">
        <f t="shared" si="3"/>
        <v/>
      </c>
      <c r="J427" s="97"/>
      <c r="K427" s="97"/>
      <c r="L427" s="97"/>
      <c r="M427" s="97"/>
      <c r="N427" s="97"/>
      <c r="O427" s="97"/>
      <c r="P427" s="97"/>
    </row>
    <row r="428">
      <c r="A428" s="92">
        <f t="shared" si="1"/>
        <v>5</v>
      </c>
      <c r="B428" s="92">
        <f t="shared" si="2"/>
        <v>4</v>
      </c>
      <c r="C428" s="93">
        <v>43209.0</v>
      </c>
      <c r="D428" s="94" t="s">
        <v>229</v>
      </c>
      <c r="E428" s="94" t="s">
        <v>34</v>
      </c>
      <c r="F428" s="100"/>
      <c r="G428" s="95">
        <v>9000.0</v>
      </c>
      <c r="H428" s="99"/>
      <c r="I428" s="97" t="str">
        <f t="shared" si="3"/>
        <v/>
      </c>
      <c r="J428" s="97"/>
      <c r="K428" s="97"/>
      <c r="L428" s="97"/>
      <c r="M428" s="97"/>
      <c r="N428" s="97"/>
      <c r="O428" s="97"/>
      <c r="P428" s="97"/>
    </row>
    <row r="429">
      <c r="A429" s="92">
        <f t="shared" si="1"/>
        <v>5</v>
      </c>
      <c r="B429" s="92">
        <f t="shared" si="2"/>
        <v>4</v>
      </c>
      <c r="C429" s="93">
        <v>43209.0</v>
      </c>
      <c r="D429" s="94" t="s">
        <v>174</v>
      </c>
      <c r="E429" s="94" t="s">
        <v>15</v>
      </c>
      <c r="F429" s="94" t="s">
        <v>110</v>
      </c>
      <c r="G429" s="95">
        <v>288.0</v>
      </c>
      <c r="H429" s="99"/>
      <c r="I429" s="97" t="str">
        <f t="shared" si="3"/>
        <v>Обед (работа)</v>
      </c>
      <c r="J429" s="97" t="s">
        <v>93</v>
      </c>
      <c r="K429" s="97" t="s">
        <v>94</v>
      </c>
      <c r="L429" s="97" t="s">
        <v>95</v>
      </c>
      <c r="M429" s="97" t="s">
        <v>92</v>
      </c>
      <c r="N429" s="97"/>
      <c r="O429" s="97"/>
      <c r="P429" s="97"/>
    </row>
    <row r="430">
      <c r="A430" s="92">
        <f t="shared" si="1"/>
        <v>5</v>
      </c>
      <c r="B430" s="92">
        <f t="shared" si="2"/>
        <v>4</v>
      </c>
      <c r="C430" s="93">
        <v>43209.0</v>
      </c>
      <c r="D430" s="94" t="s">
        <v>26</v>
      </c>
      <c r="E430" s="94" t="s">
        <v>26</v>
      </c>
      <c r="F430" s="100"/>
      <c r="G430" s="95">
        <v>79.0</v>
      </c>
      <c r="H430" s="99"/>
      <c r="I430" s="97" t="str">
        <f t="shared" si="3"/>
        <v/>
      </c>
      <c r="J430" s="97"/>
      <c r="K430" s="97"/>
      <c r="L430" s="97"/>
      <c r="M430" s="97"/>
      <c r="N430" s="97"/>
      <c r="O430" s="97"/>
      <c r="P430" s="97"/>
    </row>
    <row r="431">
      <c r="A431" s="92">
        <f t="shared" si="1"/>
        <v>6</v>
      </c>
      <c r="B431" s="92">
        <f t="shared" si="2"/>
        <v>4</v>
      </c>
      <c r="C431" s="93">
        <v>43210.0</v>
      </c>
      <c r="D431" s="94" t="s">
        <v>80</v>
      </c>
      <c r="E431" s="94" t="s">
        <v>24</v>
      </c>
      <c r="F431" s="94" t="s">
        <v>80</v>
      </c>
      <c r="G431" s="95">
        <v>119.0</v>
      </c>
      <c r="H431" s="99"/>
      <c r="I431" s="97" t="str">
        <f t="shared" si="3"/>
        <v>Такси</v>
      </c>
      <c r="J431" s="97" t="s">
        <v>81</v>
      </c>
      <c r="K431" s="97" t="s">
        <v>82</v>
      </c>
      <c r="L431" s="97" t="s">
        <v>83</v>
      </c>
      <c r="M431" s="97" t="s">
        <v>84</v>
      </c>
      <c r="N431" s="97"/>
      <c r="O431" s="97"/>
      <c r="P431" s="97"/>
    </row>
    <row r="432">
      <c r="A432" s="92">
        <f t="shared" si="1"/>
        <v>6</v>
      </c>
      <c r="B432" s="92">
        <f t="shared" si="2"/>
        <v>4</v>
      </c>
      <c r="C432" s="93">
        <v>43210.0</v>
      </c>
      <c r="D432" s="94" t="s">
        <v>91</v>
      </c>
      <c r="E432" s="94" t="s">
        <v>15</v>
      </c>
      <c r="F432" s="94" t="s">
        <v>117</v>
      </c>
      <c r="G432" s="95">
        <v>182.0</v>
      </c>
      <c r="H432" s="99"/>
      <c r="I432" s="97" t="str">
        <f t="shared" si="3"/>
        <v>Обед (работа)</v>
      </c>
      <c r="J432" s="97" t="s">
        <v>93</v>
      </c>
      <c r="K432" s="97" t="s">
        <v>94</v>
      </c>
      <c r="L432" s="97" t="s">
        <v>95</v>
      </c>
      <c r="M432" s="97" t="s">
        <v>92</v>
      </c>
      <c r="N432" s="97"/>
      <c r="O432" s="97"/>
      <c r="P432" s="97"/>
    </row>
    <row r="433">
      <c r="A433" s="92">
        <f t="shared" si="1"/>
        <v>6</v>
      </c>
      <c r="B433" s="92">
        <f t="shared" si="2"/>
        <v>4</v>
      </c>
      <c r="C433" s="93">
        <v>43210.0</v>
      </c>
      <c r="D433" s="94" t="s">
        <v>93</v>
      </c>
      <c r="E433" s="94" t="s">
        <v>15</v>
      </c>
      <c r="F433" s="94" t="s">
        <v>93</v>
      </c>
      <c r="G433" s="95">
        <v>235.0</v>
      </c>
      <c r="H433" s="99"/>
      <c r="I433" s="97" t="str">
        <f t="shared" si="3"/>
        <v>Обед (работа)</v>
      </c>
      <c r="J433" s="97" t="s">
        <v>93</v>
      </c>
      <c r="K433" s="97" t="s">
        <v>94</v>
      </c>
      <c r="L433" s="97" t="s">
        <v>95</v>
      </c>
      <c r="M433" s="97" t="s">
        <v>92</v>
      </c>
      <c r="N433" s="97"/>
      <c r="O433" s="97"/>
      <c r="P433" s="97"/>
    </row>
    <row r="434">
      <c r="A434" s="92">
        <f t="shared" si="1"/>
        <v>6</v>
      </c>
      <c r="B434" s="92">
        <f t="shared" si="2"/>
        <v>4</v>
      </c>
      <c r="C434" s="93">
        <v>43210.0</v>
      </c>
      <c r="D434" s="94" t="s">
        <v>88</v>
      </c>
      <c r="E434" s="94" t="s">
        <v>15</v>
      </c>
      <c r="F434" s="94" t="s">
        <v>110</v>
      </c>
      <c r="G434" s="95">
        <v>340.0</v>
      </c>
      <c r="H434" s="99"/>
      <c r="I434" s="97" t="str">
        <f t="shared" si="3"/>
        <v>Обед (работа)</v>
      </c>
      <c r="J434" s="97" t="s">
        <v>93</v>
      </c>
      <c r="K434" s="97" t="s">
        <v>94</v>
      </c>
      <c r="L434" s="97" t="s">
        <v>95</v>
      </c>
      <c r="M434" s="97" t="s">
        <v>92</v>
      </c>
      <c r="N434" s="97"/>
      <c r="O434" s="97"/>
      <c r="P434" s="97"/>
    </row>
    <row r="435">
      <c r="A435" s="92">
        <f t="shared" si="1"/>
        <v>6</v>
      </c>
      <c r="B435" s="92">
        <f t="shared" si="2"/>
        <v>4</v>
      </c>
      <c r="C435" s="93">
        <v>43210.0</v>
      </c>
      <c r="D435" s="94" t="s">
        <v>83</v>
      </c>
      <c r="E435" s="94" t="s">
        <v>24</v>
      </c>
      <c r="F435" s="94" t="s">
        <v>83</v>
      </c>
      <c r="G435" s="95">
        <v>1200.0</v>
      </c>
      <c r="H435" s="99"/>
      <c r="I435" s="97" t="str">
        <f t="shared" si="3"/>
        <v>Такси</v>
      </c>
      <c r="J435" s="97" t="s">
        <v>81</v>
      </c>
      <c r="K435" s="97" t="s">
        <v>82</v>
      </c>
      <c r="L435" s="97" t="s">
        <v>83</v>
      </c>
      <c r="M435" s="97" t="s">
        <v>84</v>
      </c>
      <c r="N435" s="97"/>
      <c r="O435" s="97"/>
      <c r="P435" s="97"/>
    </row>
    <row r="436">
      <c r="A436" s="92">
        <f t="shared" si="1"/>
        <v>6</v>
      </c>
      <c r="B436" s="92">
        <f t="shared" si="2"/>
        <v>4</v>
      </c>
      <c r="C436" s="93">
        <v>43210.0</v>
      </c>
      <c r="D436" s="94" t="s">
        <v>154</v>
      </c>
      <c r="E436" s="94" t="s">
        <v>37</v>
      </c>
      <c r="F436" s="100"/>
      <c r="G436" s="95">
        <v>76.0</v>
      </c>
      <c r="H436" s="99"/>
      <c r="I436" s="97" t="str">
        <f t="shared" si="3"/>
        <v/>
      </c>
      <c r="J436" s="97"/>
      <c r="K436" s="97"/>
      <c r="L436" s="97"/>
      <c r="M436" s="97"/>
      <c r="N436" s="97"/>
      <c r="O436" s="97"/>
      <c r="P436" s="97"/>
    </row>
    <row r="437">
      <c r="A437" s="92">
        <f t="shared" si="1"/>
        <v>6</v>
      </c>
      <c r="B437" s="92">
        <f t="shared" si="2"/>
        <v>4</v>
      </c>
      <c r="C437" s="93">
        <v>43210.0</v>
      </c>
      <c r="D437" s="94" t="s">
        <v>80</v>
      </c>
      <c r="E437" s="94" t="s">
        <v>24</v>
      </c>
      <c r="F437" s="94" t="s">
        <v>80</v>
      </c>
      <c r="G437" s="95">
        <v>137.0</v>
      </c>
      <c r="H437" s="99"/>
      <c r="I437" s="97" t="str">
        <f t="shared" si="3"/>
        <v>Такси</v>
      </c>
      <c r="J437" s="97" t="s">
        <v>81</v>
      </c>
      <c r="K437" s="97" t="s">
        <v>82</v>
      </c>
      <c r="L437" s="97" t="s">
        <v>83</v>
      </c>
      <c r="M437" s="97" t="s">
        <v>84</v>
      </c>
      <c r="N437" s="97"/>
      <c r="O437" s="97"/>
      <c r="P437" s="97"/>
    </row>
    <row r="438">
      <c r="A438" s="92">
        <f t="shared" si="1"/>
        <v>6</v>
      </c>
      <c r="B438" s="92">
        <f t="shared" si="2"/>
        <v>4</v>
      </c>
      <c r="C438" s="93">
        <v>43210.0</v>
      </c>
      <c r="D438" s="94" t="s">
        <v>80</v>
      </c>
      <c r="E438" s="94" t="s">
        <v>24</v>
      </c>
      <c r="F438" s="94" t="s">
        <v>80</v>
      </c>
      <c r="G438" s="95">
        <v>144.0</v>
      </c>
      <c r="H438" s="99"/>
      <c r="I438" s="97" t="str">
        <f t="shared" si="3"/>
        <v>Такси</v>
      </c>
      <c r="J438" s="97" t="s">
        <v>81</v>
      </c>
      <c r="K438" s="97" t="s">
        <v>82</v>
      </c>
      <c r="L438" s="97" t="s">
        <v>83</v>
      </c>
      <c r="M438" s="97" t="s">
        <v>84</v>
      </c>
      <c r="N438" s="97"/>
      <c r="O438" s="97"/>
      <c r="P438" s="97"/>
    </row>
    <row r="439">
      <c r="A439" s="92">
        <f t="shared" si="1"/>
        <v>6</v>
      </c>
      <c r="B439" s="92">
        <f t="shared" si="2"/>
        <v>4</v>
      </c>
      <c r="C439" s="93">
        <v>43210.0</v>
      </c>
      <c r="D439" s="94" t="s">
        <v>102</v>
      </c>
      <c r="E439" s="94" t="s">
        <v>21</v>
      </c>
      <c r="F439" s="94" t="s">
        <v>102</v>
      </c>
      <c r="G439" s="95">
        <v>1500.0</v>
      </c>
      <c r="H439" s="99"/>
      <c r="I439" s="97" t="str">
        <f t="shared" si="3"/>
        <v>Вино</v>
      </c>
      <c r="J439" s="97" t="s">
        <v>97</v>
      </c>
      <c r="K439" s="97" t="s">
        <v>98</v>
      </c>
      <c r="L439" s="97" t="s">
        <v>99</v>
      </c>
      <c r="M439" s="97" t="s">
        <v>100</v>
      </c>
      <c r="N439" s="97"/>
      <c r="O439" s="97"/>
      <c r="P439" s="97"/>
    </row>
    <row r="440">
      <c r="A440" s="92">
        <f t="shared" si="1"/>
        <v>6</v>
      </c>
      <c r="B440" s="92">
        <f t="shared" si="2"/>
        <v>4</v>
      </c>
      <c r="C440" s="93">
        <v>43210.0</v>
      </c>
      <c r="D440" s="94" t="s">
        <v>230</v>
      </c>
      <c r="E440" s="94" t="s">
        <v>37</v>
      </c>
      <c r="F440" s="100"/>
      <c r="G440" s="95">
        <v>460.0</v>
      </c>
      <c r="H440" s="99"/>
      <c r="I440" s="97" t="str">
        <f t="shared" si="3"/>
        <v/>
      </c>
      <c r="J440" s="97"/>
      <c r="K440" s="97"/>
      <c r="L440" s="97"/>
      <c r="M440" s="97"/>
      <c r="N440" s="97"/>
      <c r="O440" s="97"/>
      <c r="P440" s="97"/>
    </row>
    <row r="441">
      <c r="A441" s="92">
        <f t="shared" si="1"/>
        <v>6</v>
      </c>
      <c r="B441" s="92">
        <f t="shared" si="2"/>
        <v>4</v>
      </c>
      <c r="C441" s="93">
        <v>43210.0</v>
      </c>
      <c r="D441" s="94" t="s">
        <v>95</v>
      </c>
      <c r="E441" s="94" t="s">
        <v>21</v>
      </c>
      <c r="F441" s="94" t="s">
        <v>100</v>
      </c>
      <c r="G441" s="95">
        <v>755.0</v>
      </c>
      <c r="H441" s="99"/>
      <c r="I441" s="97" t="str">
        <f t="shared" si="3"/>
        <v>Вино</v>
      </c>
      <c r="J441" s="97" t="s">
        <v>97</v>
      </c>
      <c r="K441" s="97" t="s">
        <v>98</v>
      </c>
      <c r="L441" s="97" t="s">
        <v>99</v>
      </c>
      <c r="M441" s="97" t="s">
        <v>100</v>
      </c>
      <c r="N441" s="97"/>
      <c r="O441" s="97"/>
      <c r="P441" s="97"/>
    </row>
    <row r="442">
      <c r="A442" s="92">
        <f t="shared" si="1"/>
        <v>7</v>
      </c>
      <c r="B442" s="92">
        <f t="shared" si="2"/>
        <v>4</v>
      </c>
      <c r="C442" s="93">
        <v>43211.0</v>
      </c>
      <c r="D442" s="94" t="s">
        <v>80</v>
      </c>
      <c r="E442" s="94" t="s">
        <v>24</v>
      </c>
      <c r="F442" s="94" t="s">
        <v>80</v>
      </c>
      <c r="G442" s="95">
        <v>152.0</v>
      </c>
      <c r="H442" s="99"/>
      <c r="I442" s="97" t="str">
        <f t="shared" si="3"/>
        <v>Такси</v>
      </c>
      <c r="J442" s="97" t="s">
        <v>81</v>
      </c>
      <c r="K442" s="97" t="s">
        <v>82</v>
      </c>
      <c r="L442" s="97" t="s">
        <v>83</v>
      </c>
      <c r="M442" s="97" t="s">
        <v>84</v>
      </c>
      <c r="N442" s="97"/>
      <c r="O442" s="97"/>
      <c r="P442" s="97"/>
    </row>
    <row r="443">
      <c r="A443" s="92">
        <f t="shared" si="1"/>
        <v>7</v>
      </c>
      <c r="B443" s="92">
        <f t="shared" si="2"/>
        <v>4</v>
      </c>
      <c r="C443" s="93">
        <v>43211.0</v>
      </c>
      <c r="D443" s="94" t="s">
        <v>102</v>
      </c>
      <c r="E443" s="94" t="s">
        <v>21</v>
      </c>
      <c r="F443" s="94" t="s">
        <v>102</v>
      </c>
      <c r="G443" s="95">
        <v>433.0</v>
      </c>
      <c r="H443" s="99"/>
      <c r="I443" s="97" t="str">
        <f t="shared" si="3"/>
        <v>Вино</v>
      </c>
      <c r="J443" s="97" t="s">
        <v>97</v>
      </c>
      <c r="K443" s="97" t="s">
        <v>98</v>
      </c>
      <c r="L443" s="97" t="s">
        <v>99</v>
      </c>
      <c r="M443" s="97" t="s">
        <v>100</v>
      </c>
      <c r="N443" s="97"/>
      <c r="O443" s="97"/>
      <c r="P443" s="97"/>
    </row>
    <row r="444">
      <c r="A444" s="92">
        <f t="shared" si="1"/>
        <v>7</v>
      </c>
      <c r="B444" s="92">
        <f t="shared" si="2"/>
        <v>4</v>
      </c>
      <c r="C444" s="93">
        <v>43211.0</v>
      </c>
      <c r="D444" s="94" t="s">
        <v>102</v>
      </c>
      <c r="E444" s="94" t="s">
        <v>21</v>
      </c>
      <c r="F444" s="94" t="s">
        <v>102</v>
      </c>
      <c r="G444" s="95">
        <v>1300.0</v>
      </c>
      <c r="H444" s="99"/>
      <c r="I444" s="97" t="str">
        <f t="shared" si="3"/>
        <v>Вино</v>
      </c>
      <c r="J444" s="97" t="s">
        <v>97</v>
      </c>
      <c r="K444" s="97" t="s">
        <v>98</v>
      </c>
      <c r="L444" s="97" t="s">
        <v>99</v>
      </c>
      <c r="M444" s="97" t="s">
        <v>100</v>
      </c>
      <c r="N444" s="97"/>
      <c r="O444" s="97"/>
      <c r="P444" s="97"/>
    </row>
    <row r="445">
      <c r="A445" s="92">
        <f t="shared" si="1"/>
        <v>7</v>
      </c>
      <c r="B445" s="92">
        <f t="shared" si="2"/>
        <v>4</v>
      </c>
      <c r="C445" s="93">
        <v>43211.0</v>
      </c>
      <c r="D445" s="94" t="s">
        <v>231</v>
      </c>
      <c r="E445" s="94" t="s">
        <v>21</v>
      </c>
      <c r="F445" s="94" t="s">
        <v>100</v>
      </c>
      <c r="G445" s="95">
        <v>1500.0</v>
      </c>
      <c r="H445" s="99"/>
      <c r="I445" s="97" t="str">
        <f t="shared" si="3"/>
        <v>Вино</v>
      </c>
      <c r="J445" s="97" t="s">
        <v>97</v>
      </c>
      <c r="K445" s="97" t="s">
        <v>98</v>
      </c>
      <c r="L445" s="97" t="s">
        <v>99</v>
      </c>
      <c r="M445" s="97" t="s">
        <v>100</v>
      </c>
      <c r="N445" s="97"/>
      <c r="O445" s="97"/>
      <c r="P445" s="97"/>
    </row>
    <row r="446">
      <c r="A446" s="92">
        <f t="shared" si="1"/>
        <v>7</v>
      </c>
      <c r="B446" s="92">
        <f t="shared" si="2"/>
        <v>4</v>
      </c>
      <c r="C446" s="93">
        <v>43211.0</v>
      </c>
      <c r="D446" s="94" t="s">
        <v>80</v>
      </c>
      <c r="E446" s="94" t="s">
        <v>24</v>
      </c>
      <c r="F446" s="94" t="s">
        <v>80</v>
      </c>
      <c r="G446" s="95">
        <v>250.0</v>
      </c>
      <c r="H446" s="99"/>
      <c r="I446" s="97" t="str">
        <f t="shared" si="3"/>
        <v>Такси</v>
      </c>
      <c r="J446" s="97" t="s">
        <v>81</v>
      </c>
      <c r="K446" s="97" t="s">
        <v>82</v>
      </c>
      <c r="L446" s="97" t="s">
        <v>83</v>
      </c>
      <c r="M446" s="97" t="s">
        <v>84</v>
      </c>
      <c r="N446" s="97"/>
      <c r="O446" s="97"/>
      <c r="P446" s="97"/>
    </row>
    <row r="447">
      <c r="A447" s="92">
        <f t="shared" si="1"/>
        <v>1</v>
      </c>
      <c r="B447" s="92">
        <f t="shared" si="2"/>
        <v>4</v>
      </c>
      <c r="C447" s="93">
        <v>43212.0</v>
      </c>
      <c r="D447" s="94" t="s">
        <v>101</v>
      </c>
      <c r="E447" s="94" t="s">
        <v>15</v>
      </c>
      <c r="F447" s="94" t="s">
        <v>110</v>
      </c>
      <c r="G447" s="95">
        <v>950.0</v>
      </c>
      <c r="H447" s="99"/>
      <c r="I447" s="97" t="str">
        <f t="shared" si="3"/>
        <v>Обед (работа)</v>
      </c>
      <c r="J447" s="97" t="s">
        <v>93</v>
      </c>
      <c r="K447" s="97" t="s">
        <v>94</v>
      </c>
      <c r="L447" s="97" t="s">
        <v>95</v>
      </c>
      <c r="M447" s="97" t="s">
        <v>92</v>
      </c>
      <c r="N447" s="97"/>
      <c r="O447" s="97"/>
      <c r="P447" s="97"/>
    </row>
    <row r="448">
      <c r="A448" s="92">
        <f t="shared" si="1"/>
        <v>1</v>
      </c>
      <c r="B448" s="92">
        <f t="shared" si="2"/>
        <v>4</v>
      </c>
      <c r="C448" s="93">
        <v>43212.0</v>
      </c>
      <c r="D448" s="94" t="s">
        <v>80</v>
      </c>
      <c r="E448" s="94" t="s">
        <v>24</v>
      </c>
      <c r="F448" s="94" t="s">
        <v>80</v>
      </c>
      <c r="G448" s="95">
        <v>212.0</v>
      </c>
      <c r="H448" s="99"/>
      <c r="I448" s="97" t="str">
        <f t="shared" si="3"/>
        <v>Такси</v>
      </c>
      <c r="J448" s="97" t="s">
        <v>81</v>
      </c>
      <c r="K448" s="97" t="s">
        <v>82</v>
      </c>
      <c r="L448" s="97" t="s">
        <v>83</v>
      </c>
      <c r="M448" s="97" t="s">
        <v>84</v>
      </c>
      <c r="N448" s="97"/>
      <c r="O448" s="97"/>
      <c r="P448" s="97"/>
    </row>
    <row r="449">
      <c r="A449" s="92">
        <f t="shared" si="1"/>
        <v>1</v>
      </c>
      <c r="B449" s="92">
        <f t="shared" si="2"/>
        <v>4</v>
      </c>
      <c r="C449" s="93">
        <v>43212.0</v>
      </c>
      <c r="D449" s="94" t="s">
        <v>80</v>
      </c>
      <c r="E449" s="94" t="s">
        <v>24</v>
      </c>
      <c r="F449" s="94" t="s">
        <v>80</v>
      </c>
      <c r="G449" s="95">
        <v>160.0</v>
      </c>
      <c r="H449" s="99"/>
      <c r="I449" s="97" t="str">
        <f t="shared" si="3"/>
        <v>Такси</v>
      </c>
      <c r="J449" s="97" t="s">
        <v>81</v>
      </c>
      <c r="K449" s="97" t="s">
        <v>82</v>
      </c>
      <c r="L449" s="97" t="s">
        <v>83</v>
      </c>
      <c r="M449" s="97" t="s">
        <v>84</v>
      </c>
      <c r="N449" s="97"/>
      <c r="O449" s="97"/>
      <c r="P449" s="97"/>
    </row>
    <row r="450">
      <c r="A450" s="92">
        <f t="shared" si="1"/>
        <v>2</v>
      </c>
      <c r="B450" s="92">
        <f t="shared" si="2"/>
        <v>4</v>
      </c>
      <c r="C450" s="93">
        <v>43213.0</v>
      </c>
      <c r="D450" s="94" t="s">
        <v>91</v>
      </c>
      <c r="E450" s="94" t="s">
        <v>15</v>
      </c>
      <c r="F450" s="94" t="s">
        <v>117</v>
      </c>
      <c r="G450" s="95">
        <v>325.0</v>
      </c>
      <c r="H450" s="99"/>
      <c r="I450" s="97" t="str">
        <f t="shared" si="3"/>
        <v>Обед (работа)</v>
      </c>
      <c r="J450" s="97" t="s">
        <v>93</v>
      </c>
      <c r="K450" s="97" t="s">
        <v>94</v>
      </c>
      <c r="L450" s="97" t="s">
        <v>95</v>
      </c>
      <c r="M450" s="97" t="s">
        <v>92</v>
      </c>
      <c r="N450" s="97"/>
      <c r="O450" s="97"/>
      <c r="P450" s="97"/>
    </row>
    <row r="451">
      <c r="A451" s="92">
        <f t="shared" si="1"/>
        <v>2</v>
      </c>
      <c r="B451" s="92">
        <f t="shared" si="2"/>
        <v>4</v>
      </c>
      <c r="C451" s="93">
        <v>43213.0</v>
      </c>
      <c r="D451" s="94" t="s">
        <v>93</v>
      </c>
      <c r="E451" s="94" t="s">
        <v>15</v>
      </c>
      <c r="F451" s="94" t="s">
        <v>93</v>
      </c>
      <c r="G451" s="95">
        <v>208.0</v>
      </c>
      <c r="H451" s="99"/>
      <c r="I451" s="97" t="str">
        <f t="shared" si="3"/>
        <v>Обед (работа)</v>
      </c>
      <c r="J451" s="97" t="s">
        <v>93</v>
      </c>
      <c r="K451" s="97" t="s">
        <v>94</v>
      </c>
      <c r="L451" s="97" t="s">
        <v>95</v>
      </c>
      <c r="M451" s="97" t="s">
        <v>92</v>
      </c>
      <c r="N451" s="97"/>
      <c r="O451" s="97"/>
      <c r="P451" s="97"/>
    </row>
    <row r="452">
      <c r="A452" s="92">
        <f t="shared" si="1"/>
        <v>2</v>
      </c>
      <c r="B452" s="92">
        <f t="shared" si="2"/>
        <v>4</v>
      </c>
      <c r="C452" s="93">
        <v>43213.0</v>
      </c>
      <c r="D452" s="94" t="s">
        <v>101</v>
      </c>
      <c r="E452" s="94" t="s">
        <v>15</v>
      </c>
      <c r="F452" s="94" t="s">
        <v>110</v>
      </c>
      <c r="G452" s="95">
        <v>518.0</v>
      </c>
      <c r="H452" s="99"/>
      <c r="I452" s="97" t="str">
        <f t="shared" si="3"/>
        <v>Обед (работа)</v>
      </c>
      <c r="J452" s="97" t="s">
        <v>93</v>
      </c>
      <c r="K452" s="97" t="s">
        <v>94</v>
      </c>
      <c r="L452" s="97" t="s">
        <v>95</v>
      </c>
      <c r="M452" s="97" t="s">
        <v>92</v>
      </c>
      <c r="N452" s="97"/>
      <c r="O452" s="97"/>
      <c r="P452" s="97"/>
    </row>
    <row r="453">
      <c r="A453" s="92">
        <f t="shared" si="1"/>
        <v>2</v>
      </c>
      <c r="B453" s="92">
        <f t="shared" si="2"/>
        <v>4</v>
      </c>
      <c r="C453" s="93">
        <v>43213.0</v>
      </c>
      <c r="D453" s="94" t="s">
        <v>232</v>
      </c>
      <c r="E453" s="94" t="s">
        <v>34</v>
      </c>
      <c r="F453" s="100"/>
      <c r="G453" s="95">
        <v>4500.0</v>
      </c>
      <c r="H453" s="99"/>
      <c r="I453" s="97" t="str">
        <f t="shared" si="3"/>
        <v/>
      </c>
      <c r="J453" s="97"/>
      <c r="K453" s="97"/>
      <c r="L453" s="97"/>
      <c r="M453" s="97"/>
      <c r="N453" s="97"/>
      <c r="O453" s="97"/>
      <c r="P453" s="97"/>
    </row>
    <row r="454">
      <c r="A454" s="92">
        <f t="shared" si="1"/>
        <v>2</v>
      </c>
      <c r="B454" s="92">
        <f t="shared" si="2"/>
        <v>4</v>
      </c>
      <c r="C454" s="93">
        <v>43213.0</v>
      </c>
      <c r="D454" s="94" t="s">
        <v>204</v>
      </c>
      <c r="E454" s="94" t="s">
        <v>15</v>
      </c>
      <c r="F454" s="94" t="s">
        <v>92</v>
      </c>
      <c r="G454" s="95">
        <v>410.0</v>
      </c>
      <c r="H454" s="99"/>
      <c r="I454" s="97" t="str">
        <f t="shared" si="3"/>
        <v>Обед (работа)</v>
      </c>
      <c r="J454" s="97" t="s">
        <v>93</v>
      </c>
      <c r="K454" s="97" t="s">
        <v>94</v>
      </c>
      <c r="L454" s="97" t="s">
        <v>95</v>
      </c>
      <c r="M454" s="97" t="s">
        <v>92</v>
      </c>
      <c r="N454" s="97"/>
      <c r="O454" s="97"/>
      <c r="P454" s="97"/>
    </row>
    <row r="455">
      <c r="A455" s="92">
        <f t="shared" si="1"/>
        <v>2</v>
      </c>
      <c r="B455" s="92">
        <f t="shared" si="2"/>
        <v>4</v>
      </c>
      <c r="C455" s="93">
        <v>43213.0</v>
      </c>
      <c r="D455" s="94" t="s">
        <v>233</v>
      </c>
      <c r="E455" s="94" t="s">
        <v>18</v>
      </c>
      <c r="F455" s="94" t="s">
        <v>115</v>
      </c>
      <c r="G455" s="95">
        <v>300.0</v>
      </c>
      <c r="H455" s="99"/>
      <c r="I455" s="97" t="str">
        <f t="shared" si="3"/>
        <v>Родственники</v>
      </c>
      <c r="J455" s="97" t="s">
        <v>116</v>
      </c>
      <c r="K455" s="97" t="s">
        <v>115</v>
      </c>
      <c r="L455" s="97"/>
      <c r="M455" s="97"/>
      <c r="N455" s="97"/>
      <c r="O455" s="97"/>
      <c r="P455" s="97"/>
    </row>
    <row r="456">
      <c r="A456" s="92">
        <f t="shared" si="1"/>
        <v>3</v>
      </c>
      <c r="B456" s="92">
        <f t="shared" si="2"/>
        <v>4</v>
      </c>
      <c r="C456" s="93">
        <v>43214.0</v>
      </c>
      <c r="D456" s="94" t="s">
        <v>80</v>
      </c>
      <c r="E456" s="94" t="s">
        <v>24</v>
      </c>
      <c r="F456" s="94" t="s">
        <v>80</v>
      </c>
      <c r="G456" s="95">
        <v>118.0</v>
      </c>
      <c r="H456" s="99"/>
      <c r="I456" s="97" t="str">
        <f t="shared" si="3"/>
        <v>Такси</v>
      </c>
      <c r="J456" s="97" t="s">
        <v>81</v>
      </c>
      <c r="K456" s="97" t="s">
        <v>82</v>
      </c>
      <c r="L456" s="97" t="s">
        <v>83</v>
      </c>
      <c r="M456" s="97" t="s">
        <v>84</v>
      </c>
      <c r="N456" s="97"/>
      <c r="O456" s="97"/>
      <c r="P456" s="97"/>
    </row>
    <row r="457">
      <c r="A457" s="92">
        <f t="shared" si="1"/>
        <v>3</v>
      </c>
      <c r="B457" s="92">
        <f t="shared" si="2"/>
        <v>4</v>
      </c>
      <c r="C457" s="93">
        <v>43214.0</v>
      </c>
      <c r="D457" s="94" t="s">
        <v>93</v>
      </c>
      <c r="E457" s="94" t="s">
        <v>15</v>
      </c>
      <c r="F457" s="94" t="s">
        <v>93</v>
      </c>
      <c r="G457" s="95">
        <v>325.0</v>
      </c>
      <c r="H457" s="99"/>
      <c r="I457" s="97" t="str">
        <f t="shared" si="3"/>
        <v>Обед (работа)</v>
      </c>
      <c r="J457" s="97" t="s">
        <v>93</v>
      </c>
      <c r="K457" s="97" t="s">
        <v>94</v>
      </c>
      <c r="L457" s="97" t="s">
        <v>95</v>
      </c>
      <c r="M457" s="97" t="s">
        <v>92</v>
      </c>
      <c r="N457" s="97"/>
      <c r="O457" s="97"/>
      <c r="P457" s="97"/>
    </row>
    <row r="458">
      <c r="A458" s="92">
        <f t="shared" si="1"/>
        <v>3</v>
      </c>
      <c r="B458" s="92">
        <f t="shared" si="2"/>
        <v>4</v>
      </c>
      <c r="C458" s="93">
        <v>43214.0</v>
      </c>
      <c r="D458" s="94" t="s">
        <v>26</v>
      </c>
      <c r="E458" s="94" t="s">
        <v>26</v>
      </c>
      <c r="F458" s="100"/>
      <c r="G458" s="95">
        <v>1300.0</v>
      </c>
      <c r="H458" s="99"/>
      <c r="I458" s="97" t="str">
        <f t="shared" si="3"/>
        <v/>
      </c>
      <c r="J458" s="97"/>
      <c r="K458" s="97"/>
      <c r="L458" s="97"/>
      <c r="M458" s="97"/>
      <c r="N458" s="97"/>
      <c r="O458" s="97"/>
      <c r="P458" s="97"/>
    </row>
    <row r="459">
      <c r="A459" s="92">
        <f t="shared" si="1"/>
        <v>4</v>
      </c>
      <c r="B459" s="92">
        <f t="shared" si="2"/>
        <v>4</v>
      </c>
      <c r="C459" s="93">
        <v>43215.0</v>
      </c>
      <c r="D459" s="94" t="s">
        <v>80</v>
      </c>
      <c r="E459" s="94" t="s">
        <v>24</v>
      </c>
      <c r="F459" s="94" t="s">
        <v>80</v>
      </c>
      <c r="G459" s="95">
        <v>118.0</v>
      </c>
      <c r="H459" s="99"/>
      <c r="I459" s="97" t="str">
        <f t="shared" si="3"/>
        <v>Такси</v>
      </c>
      <c r="J459" s="97" t="s">
        <v>81</v>
      </c>
      <c r="K459" s="97" t="s">
        <v>82</v>
      </c>
      <c r="L459" s="97" t="s">
        <v>83</v>
      </c>
      <c r="M459" s="97" t="s">
        <v>84</v>
      </c>
      <c r="N459" s="97"/>
      <c r="O459" s="97"/>
      <c r="P459" s="97"/>
    </row>
    <row r="460">
      <c r="A460" s="92">
        <f t="shared" si="1"/>
        <v>4</v>
      </c>
      <c r="B460" s="92">
        <f t="shared" si="2"/>
        <v>4</v>
      </c>
      <c r="C460" s="93">
        <v>43215.0</v>
      </c>
      <c r="D460" s="94" t="s">
        <v>91</v>
      </c>
      <c r="E460" s="94" t="s">
        <v>15</v>
      </c>
      <c r="F460" s="94" t="s">
        <v>117</v>
      </c>
      <c r="G460" s="95">
        <v>349.0</v>
      </c>
      <c r="H460" s="99"/>
      <c r="I460" s="97" t="str">
        <f t="shared" si="3"/>
        <v>Обед (работа)</v>
      </c>
      <c r="J460" s="97" t="s">
        <v>93</v>
      </c>
      <c r="K460" s="97" t="s">
        <v>94</v>
      </c>
      <c r="L460" s="97" t="s">
        <v>95</v>
      </c>
      <c r="M460" s="97" t="s">
        <v>92</v>
      </c>
      <c r="N460" s="97"/>
      <c r="O460" s="97"/>
      <c r="P460" s="97"/>
    </row>
    <row r="461">
      <c r="A461" s="92">
        <f t="shared" si="1"/>
        <v>4</v>
      </c>
      <c r="B461" s="92">
        <f t="shared" si="2"/>
        <v>4</v>
      </c>
      <c r="C461" s="93">
        <v>43215.0</v>
      </c>
      <c r="D461" s="94" t="s">
        <v>93</v>
      </c>
      <c r="E461" s="94" t="s">
        <v>15</v>
      </c>
      <c r="F461" s="94" t="s">
        <v>93</v>
      </c>
      <c r="G461" s="95">
        <v>98.0</v>
      </c>
      <c r="H461" s="99"/>
      <c r="I461" s="97" t="str">
        <f t="shared" si="3"/>
        <v>Обед (работа)</v>
      </c>
      <c r="J461" s="97" t="s">
        <v>93</v>
      </c>
      <c r="K461" s="97" t="s">
        <v>94</v>
      </c>
      <c r="L461" s="97" t="s">
        <v>95</v>
      </c>
      <c r="M461" s="97" t="s">
        <v>92</v>
      </c>
      <c r="N461" s="97"/>
      <c r="O461" s="97"/>
      <c r="P461" s="97"/>
    </row>
    <row r="462">
      <c r="A462" s="92">
        <f t="shared" si="1"/>
        <v>4</v>
      </c>
      <c r="B462" s="92">
        <f t="shared" si="2"/>
        <v>4</v>
      </c>
      <c r="C462" s="93">
        <v>43215.0</v>
      </c>
      <c r="D462" s="94" t="s">
        <v>159</v>
      </c>
      <c r="E462" s="94" t="s">
        <v>37</v>
      </c>
      <c r="F462" s="100"/>
      <c r="G462" s="95">
        <v>700.0</v>
      </c>
      <c r="H462" s="99"/>
      <c r="I462" s="97" t="str">
        <f t="shared" si="3"/>
        <v/>
      </c>
      <c r="J462" s="97"/>
      <c r="K462" s="97"/>
      <c r="L462" s="97"/>
      <c r="M462" s="97"/>
      <c r="N462" s="97"/>
      <c r="O462" s="97"/>
      <c r="P462" s="97"/>
    </row>
    <row r="463">
      <c r="A463" s="92">
        <f t="shared" si="1"/>
        <v>4</v>
      </c>
      <c r="B463" s="92">
        <f t="shared" si="2"/>
        <v>4</v>
      </c>
      <c r="C463" s="93">
        <v>43215.0</v>
      </c>
      <c r="D463" s="94" t="s">
        <v>96</v>
      </c>
      <c r="E463" s="94" t="s">
        <v>21</v>
      </c>
      <c r="F463" s="94" t="s">
        <v>97</v>
      </c>
      <c r="G463" s="95">
        <v>1000.0</v>
      </c>
      <c r="H463" s="99"/>
      <c r="I463" s="97" t="str">
        <f t="shared" si="3"/>
        <v>Вино</v>
      </c>
      <c r="J463" s="97" t="s">
        <v>97</v>
      </c>
      <c r="K463" s="97" t="s">
        <v>98</v>
      </c>
      <c r="L463" s="97" t="s">
        <v>99</v>
      </c>
      <c r="M463" s="97" t="s">
        <v>100</v>
      </c>
      <c r="N463" s="97"/>
      <c r="O463" s="97"/>
      <c r="P463" s="97"/>
    </row>
    <row r="464">
      <c r="A464" s="92">
        <f t="shared" si="1"/>
        <v>4</v>
      </c>
      <c r="B464" s="92">
        <f t="shared" si="2"/>
        <v>4</v>
      </c>
      <c r="C464" s="93">
        <v>43215.0</v>
      </c>
      <c r="D464" s="94" t="s">
        <v>80</v>
      </c>
      <c r="E464" s="94" t="s">
        <v>24</v>
      </c>
      <c r="F464" s="94" t="s">
        <v>80</v>
      </c>
      <c r="G464" s="95">
        <v>135.0</v>
      </c>
      <c r="H464" s="99"/>
      <c r="I464" s="97" t="str">
        <f t="shared" si="3"/>
        <v>Такси</v>
      </c>
      <c r="J464" s="97" t="s">
        <v>81</v>
      </c>
      <c r="K464" s="97" t="s">
        <v>82</v>
      </c>
      <c r="L464" s="97" t="s">
        <v>83</v>
      </c>
      <c r="M464" s="97" t="s">
        <v>84</v>
      </c>
      <c r="N464" s="97"/>
      <c r="O464" s="97"/>
      <c r="P464" s="97"/>
    </row>
    <row r="465">
      <c r="A465" s="92">
        <f t="shared" si="1"/>
        <v>5</v>
      </c>
      <c r="B465" s="92">
        <f t="shared" si="2"/>
        <v>4</v>
      </c>
      <c r="C465" s="93">
        <v>43216.0</v>
      </c>
      <c r="D465" s="94" t="s">
        <v>80</v>
      </c>
      <c r="E465" s="94" t="s">
        <v>24</v>
      </c>
      <c r="F465" s="94" t="s">
        <v>80</v>
      </c>
      <c r="G465" s="95">
        <v>118.0</v>
      </c>
      <c r="H465" s="99"/>
      <c r="I465" s="97" t="str">
        <f t="shared" si="3"/>
        <v>Такси</v>
      </c>
      <c r="J465" s="97" t="s">
        <v>81</v>
      </c>
      <c r="K465" s="97" t="s">
        <v>82</v>
      </c>
      <c r="L465" s="97" t="s">
        <v>83</v>
      </c>
      <c r="M465" s="97" t="s">
        <v>84</v>
      </c>
      <c r="N465" s="97"/>
      <c r="O465" s="97"/>
      <c r="P465" s="97"/>
    </row>
    <row r="466">
      <c r="A466" s="92">
        <f t="shared" si="1"/>
        <v>5</v>
      </c>
      <c r="B466" s="92">
        <f t="shared" si="2"/>
        <v>4</v>
      </c>
      <c r="C466" s="93">
        <v>43216.0</v>
      </c>
      <c r="D466" s="94" t="s">
        <v>80</v>
      </c>
      <c r="E466" s="94" t="s">
        <v>24</v>
      </c>
      <c r="F466" s="94" t="s">
        <v>80</v>
      </c>
      <c r="G466" s="95">
        <v>131.0</v>
      </c>
      <c r="H466" s="99"/>
      <c r="I466" s="97" t="str">
        <f t="shared" si="3"/>
        <v>Такси</v>
      </c>
      <c r="J466" s="97" t="s">
        <v>81</v>
      </c>
      <c r="K466" s="97" t="s">
        <v>82</v>
      </c>
      <c r="L466" s="97" t="s">
        <v>83</v>
      </c>
      <c r="M466" s="97" t="s">
        <v>84</v>
      </c>
      <c r="N466" s="97"/>
      <c r="O466" s="97"/>
      <c r="P466" s="97"/>
    </row>
    <row r="467">
      <c r="A467" s="92">
        <f t="shared" si="1"/>
        <v>5</v>
      </c>
      <c r="B467" s="92">
        <f t="shared" si="2"/>
        <v>4</v>
      </c>
      <c r="C467" s="93">
        <v>43216.0</v>
      </c>
      <c r="D467" s="94" t="s">
        <v>91</v>
      </c>
      <c r="E467" s="94" t="s">
        <v>15</v>
      </c>
      <c r="F467" s="94" t="s">
        <v>117</v>
      </c>
      <c r="G467" s="95">
        <v>445.0</v>
      </c>
      <c r="H467" s="99"/>
      <c r="I467" s="97" t="str">
        <f t="shared" si="3"/>
        <v>Обед (работа)</v>
      </c>
      <c r="J467" s="97" t="s">
        <v>93</v>
      </c>
      <c r="K467" s="97" t="s">
        <v>94</v>
      </c>
      <c r="L467" s="97" t="s">
        <v>95</v>
      </c>
      <c r="M467" s="97" t="s">
        <v>92</v>
      </c>
      <c r="N467" s="97"/>
      <c r="O467" s="97"/>
      <c r="P467" s="97"/>
    </row>
    <row r="468">
      <c r="A468" s="92">
        <f t="shared" si="1"/>
        <v>5</v>
      </c>
      <c r="B468" s="92">
        <f t="shared" si="2"/>
        <v>4</v>
      </c>
      <c r="C468" s="93">
        <v>43216.0</v>
      </c>
      <c r="D468" s="94" t="s">
        <v>93</v>
      </c>
      <c r="E468" s="94" t="s">
        <v>15</v>
      </c>
      <c r="F468" s="94" t="s">
        <v>93</v>
      </c>
      <c r="G468" s="95">
        <v>250.0</v>
      </c>
      <c r="H468" s="99"/>
      <c r="I468" s="97" t="str">
        <f t="shared" si="3"/>
        <v>Обед (работа)</v>
      </c>
      <c r="J468" s="97" t="s">
        <v>93</v>
      </c>
      <c r="K468" s="97" t="s">
        <v>94</v>
      </c>
      <c r="L468" s="97" t="s">
        <v>95</v>
      </c>
      <c r="M468" s="97" t="s">
        <v>92</v>
      </c>
      <c r="N468" s="97"/>
      <c r="O468" s="97"/>
      <c r="P468" s="97"/>
    </row>
    <row r="469">
      <c r="A469" s="92">
        <f t="shared" si="1"/>
        <v>6</v>
      </c>
      <c r="B469" s="92">
        <f t="shared" si="2"/>
        <v>4</v>
      </c>
      <c r="C469" s="93">
        <v>43217.0</v>
      </c>
      <c r="D469" s="94" t="s">
        <v>80</v>
      </c>
      <c r="E469" s="94" t="s">
        <v>24</v>
      </c>
      <c r="F469" s="94" t="s">
        <v>80</v>
      </c>
      <c r="G469" s="95">
        <v>119.0</v>
      </c>
      <c r="H469" s="99"/>
      <c r="I469" s="97" t="str">
        <f t="shared" si="3"/>
        <v>Такси</v>
      </c>
      <c r="J469" s="97" t="s">
        <v>81</v>
      </c>
      <c r="K469" s="97" t="s">
        <v>82</v>
      </c>
      <c r="L469" s="97" t="s">
        <v>83</v>
      </c>
      <c r="M469" s="97" t="s">
        <v>84</v>
      </c>
      <c r="N469" s="97"/>
      <c r="O469" s="97"/>
      <c r="P469" s="97"/>
    </row>
    <row r="470">
      <c r="A470" s="92">
        <f t="shared" si="1"/>
        <v>6</v>
      </c>
      <c r="B470" s="92">
        <f t="shared" si="2"/>
        <v>4</v>
      </c>
      <c r="C470" s="93">
        <v>43217.0</v>
      </c>
      <c r="D470" s="94" t="s">
        <v>93</v>
      </c>
      <c r="E470" s="94" t="s">
        <v>15</v>
      </c>
      <c r="F470" s="94" t="s">
        <v>93</v>
      </c>
      <c r="G470" s="95">
        <v>237.0</v>
      </c>
      <c r="H470" s="99"/>
      <c r="I470" s="97" t="str">
        <f t="shared" si="3"/>
        <v>Обед (работа)</v>
      </c>
      <c r="J470" s="97" t="s">
        <v>93</v>
      </c>
      <c r="K470" s="97" t="s">
        <v>94</v>
      </c>
      <c r="L470" s="97" t="s">
        <v>95</v>
      </c>
      <c r="M470" s="97" t="s">
        <v>92</v>
      </c>
      <c r="N470" s="97"/>
      <c r="O470" s="97"/>
      <c r="P470" s="97"/>
    </row>
    <row r="471">
      <c r="A471" s="92">
        <f t="shared" si="1"/>
        <v>6</v>
      </c>
      <c r="B471" s="92">
        <f t="shared" si="2"/>
        <v>4</v>
      </c>
      <c r="C471" s="93">
        <v>43217.0</v>
      </c>
      <c r="D471" s="94" t="s">
        <v>91</v>
      </c>
      <c r="E471" s="94" t="s">
        <v>15</v>
      </c>
      <c r="F471" s="94" t="s">
        <v>117</v>
      </c>
      <c r="G471" s="95">
        <v>365.0</v>
      </c>
      <c r="H471" s="99"/>
      <c r="I471" s="97" t="str">
        <f t="shared" si="3"/>
        <v>Обед (работа)</v>
      </c>
      <c r="J471" s="97" t="s">
        <v>93</v>
      </c>
      <c r="K471" s="97" t="s">
        <v>94</v>
      </c>
      <c r="L471" s="97" t="s">
        <v>95</v>
      </c>
      <c r="M471" s="97" t="s">
        <v>92</v>
      </c>
      <c r="N471" s="97"/>
      <c r="O471" s="97"/>
      <c r="P471" s="97"/>
    </row>
    <row r="472">
      <c r="A472" s="92">
        <f t="shared" si="1"/>
        <v>6</v>
      </c>
      <c r="B472" s="92">
        <f t="shared" si="2"/>
        <v>4</v>
      </c>
      <c r="C472" s="93">
        <v>43217.0</v>
      </c>
      <c r="D472" s="94" t="s">
        <v>80</v>
      </c>
      <c r="E472" s="94" t="s">
        <v>24</v>
      </c>
      <c r="F472" s="94" t="s">
        <v>80</v>
      </c>
      <c r="G472" s="95">
        <v>140.0</v>
      </c>
      <c r="H472" s="99"/>
      <c r="I472" s="97" t="str">
        <f t="shared" si="3"/>
        <v>Такси</v>
      </c>
      <c r="J472" s="97" t="s">
        <v>81</v>
      </c>
      <c r="K472" s="97" t="s">
        <v>82</v>
      </c>
      <c r="L472" s="97" t="s">
        <v>83</v>
      </c>
      <c r="M472" s="97" t="s">
        <v>84</v>
      </c>
      <c r="N472" s="97"/>
      <c r="O472" s="97"/>
      <c r="P472" s="97"/>
    </row>
    <row r="473">
      <c r="A473" s="92">
        <f t="shared" si="1"/>
        <v>6</v>
      </c>
      <c r="B473" s="92">
        <f t="shared" si="2"/>
        <v>4</v>
      </c>
      <c r="C473" s="93">
        <v>43217.0</v>
      </c>
      <c r="D473" s="94" t="s">
        <v>234</v>
      </c>
      <c r="E473" s="94" t="s">
        <v>21</v>
      </c>
      <c r="F473" s="94" t="s">
        <v>102</v>
      </c>
      <c r="G473" s="95">
        <v>2700.0</v>
      </c>
      <c r="H473" s="99"/>
      <c r="I473" s="97" t="str">
        <f t="shared" si="3"/>
        <v>Вино</v>
      </c>
      <c r="J473" s="97" t="s">
        <v>97</v>
      </c>
      <c r="K473" s="97" t="s">
        <v>98</v>
      </c>
      <c r="L473" s="97" t="s">
        <v>99</v>
      </c>
      <c r="M473" s="97" t="s">
        <v>100</v>
      </c>
      <c r="N473" s="97"/>
      <c r="O473" s="97"/>
      <c r="P473" s="97"/>
    </row>
    <row r="474">
      <c r="A474" s="92">
        <f t="shared" si="1"/>
        <v>6</v>
      </c>
      <c r="B474" s="92">
        <f t="shared" si="2"/>
        <v>4</v>
      </c>
      <c r="C474" s="93">
        <v>43217.0</v>
      </c>
      <c r="D474" s="94" t="s">
        <v>235</v>
      </c>
      <c r="E474" s="94" t="s">
        <v>26</v>
      </c>
      <c r="F474" s="100"/>
      <c r="G474" s="95">
        <v>260.0</v>
      </c>
      <c r="H474" s="99"/>
      <c r="I474" s="97" t="str">
        <f t="shared" si="3"/>
        <v/>
      </c>
      <c r="J474" s="97"/>
      <c r="K474" s="97"/>
      <c r="L474" s="97"/>
      <c r="M474" s="97"/>
      <c r="N474" s="97"/>
      <c r="O474" s="97"/>
      <c r="P474" s="97"/>
    </row>
    <row r="475">
      <c r="A475" s="92">
        <f t="shared" si="1"/>
        <v>6</v>
      </c>
      <c r="B475" s="92">
        <f t="shared" si="2"/>
        <v>4</v>
      </c>
      <c r="C475" s="93">
        <v>43217.0</v>
      </c>
      <c r="D475" s="94" t="s">
        <v>26</v>
      </c>
      <c r="E475" s="94" t="s">
        <v>26</v>
      </c>
      <c r="F475" s="100"/>
      <c r="G475" s="95">
        <v>1000.0</v>
      </c>
      <c r="H475" s="99"/>
      <c r="I475" s="97" t="str">
        <f t="shared" si="3"/>
        <v/>
      </c>
      <c r="J475" s="97"/>
      <c r="K475" s="97"/>
      <c r="L475" s="97"/>
      <c r="M475" s="97"/>
      <c r="N475" s="97"/>
      <c r="O475" s="97"/>
      <c r="P475" s="97"/>
    </row>
    <row r="476">
      <c r="A476" s="92">
        <f t="shared" si="1"/>
        <v>7</v>
      </c>
      <c r="B476" s="92">
        <f t="shared" si="2"/>
        <v>4</v>
      </c>
      <c r="C476" s="93">
        <v>43218.0</v>
      </c>
      <c r="D476" s="94" t="s">
        <v>80</v>
      </c>
      <c r="E476" s="94" t="s">
        <v>24</v>
      </c>
      <c r="F476" s="94" t="s">
        <v>80</v>
      </c>
      <c r="G476" s="95">
        <v>152.0</v>
      </c>
      <c r="H476" s="99"/>
      <c r="I476" s="97" t="str">
        <f t="shared" si="3"/>
        <v>Такси</v>
      </c>
      <c r="J476" s="97" t="s">
        <v>81</v>
      </c>
      <c r="K476" s="97" t="s">
        <v>82</v>
      </c>
      <c r="L476" s="97" t="s">
        <v>83</v>
      </c>
      <c r="M476" s="97" t="s">
        <v>84</v>
      </c>
      <c r="N476" s="97"/>
      <c r="O476" s="97"/>
      <c r="P476" s="97"/>
    </row>
    <row r="477">
      <c r="A477" s="92">
        <f t="shared" si="1"/>
        <v>7</v>
      </c>
      <c r="B477" s="92">
        <f t="shared" si="2"/>
        <v>4</v>
      </c>
      <c r="C477" s="93">
        <v>43218.0</v>
      </c>
      <c r="D477" s="94" t="s">
        <v>83</v>
      </c>
      <c r="E477" s="94" t="s">
        <v>24</v>
      </c>
      <c r="F477" s="94" t="s">
        <v>83</v>
      </c>
      <c r="G477" s="95">
        <v>44.0</v>
      </c>
      <c r="H477" s="99"/>
      <c r="I477" s="97" t="str">
        <f t="shared" si="3"/>
        <v>Такси</v>
      </c>
      <c r="J477" s="97" t="s">
        <v>81</v>
      </c>
      <c r="K477" s="97" t="s">
        <v>82</v>
      </c>
      <c r="L477" s="97" t="s">
        <v>83</v>
      </c>
      <c r="M477" s="97" t="s">
        <v>84</v>
      </c>
      <c r="N477" s="97"/>
      <c r="O477" s="97"/>
      <c r="P477" s="97"/>
    </row>
    <row r="478">
      <c r="A478" s="92">
        <f t="shared" si="1"/>
        <v>7</v>
      </c>
      <c r="B478" s="92">
        <f t="shared" si="2"/>
        <v>4</v>
      </c>
      <c r="C478" s="93">
        <v>43218.0</v>
      </c>
      <c r="D478" s="94" t="s">
        <v>93</v>
      </c>
      <c r="E478" s="94" t="s">
        <v>15</v>
      </c>
      <c r="F478" s="94" t="s">
        <v>117</v>
      </c>
      <c r="G478" s="95">
        <v>272.0</v>
      </c>
      <c r="H478" s="99"/>
      <c r="I478" s="97" t="str">
        <f t="shared" si="3"/>
        <v>Обед (работа)</v>
      </c>
      <c r="J478" s="97" t="s">
        <v>93</v>
      </c>
      <c r="K478" s="97" t="s">
        <v>94</v>
      </c>
      <c r="L478" s="97" t="s">
        <v>95</v>
      </c>
      <c r="M478" s="97" t="s">
        <v>92</v>
      </c>
      <c r="N478" s="97"/>
      <c r="O478" s="97"/>
      <c r="P478" s="97"/>
    </row>
    <row r="479">
      <c r="A479" s="92">
        <f t="shared" si="1"/>
        <v>7</v>
      </c>
      <c r="B479" s="92">
        <f t="shared" si="2"/>
        <v>4</v>
      </c>
      <c r="C479" s="93">
        <v>43218.0</v>
      </c>
      <c r="D479" s="94" t="s">
        <v>93</v>
      </c>
      <c r="E479" s="94" t="s">
        <v>15</v>
      </c>
      <c r="F479" s="94" t="s">
        <v>93</v>
      </c>
      <c r="G479" s="95">
        <v>200.0</v>
      </c>
      <c r="H479" s="99"/>
      <c r="I479" s="97" t="str">
        <f t="shared" si="3"/>
        <v>Обед (работа)</v>
      </c>
      <c r="J479" s="97" t="s">
        <v>93</v>
      </c>
      <c r="K479" s="97" t="s">
        <v>94</v>
      </c>
      <c r="L479" s="97" t="s">
        <v>95</v>
      </c>
      <c r="M479" s="97" t="s">
        <v>92</v>
      </c>
      <c r="N479" s="97"/>
      <c r="O479" s="97"/>
      <c r="P479" s="97"/>
    </row>
    <row r="480">
      <c r="A480" s="92">
        <f t="shared" si="1"/>
        <v>1</v>
      </c>
      <c r="B480" s="92">
        <f t="shared" si="2"/>
        <v>4</v>
      </c>
      <c r="C480" s="93">
        <v>43219.0</v>
      </c>
      <c r="D480" s="94" t="s">
        <v>236</v>
      </c>
      <c r="E480" s="94" t="s">
        <v>18</v>
      </c>
      <c r="F480" s="94" t="s">
        <v>116</v>
      </c>
      <c r="G480" s="95">
        <v>10000.0</v>
      </c>
      <c r="H480" s="99"/>
      <c r="I480" s="97" t="str">
        <f t="shared" si="3"/>
        <v>Родственники</v>
      </c>
      <c r="J480" s="97" t="s">
        <v>116</v>
      </c>
      <c r="K480" s="97" t="s">
        <v>115</v>
      </c>
      <c r="L480" s="97"/>
      <c r="M480" s="97"/>
      <c r="N480" s="97"/>
      <c r="O480" s="97"/>
      <c r="P480" s="97"/>
    </row>
    <row r="481">
      <c r="A481" s="92">
        <f t="shared" si="1"/>
        <v>1</v>
      </c>
      <c r="B481" s="92">
        <f t="shared" si="2"/>
        <v>4</v>
      </c>
      <c r="C481" s="93">
        <v>43219.0</v>
      </c>
      <c r="D481" s="94" t="s">
        <v>135</v>
      </c>
      <c r="E481" s="94" t="s">
        <v>18</v>
      </c>
      <c r="F481" s="94" t="s">
        <v>116</v>
      </c>
      <c r="G481" s="95">
        <v>1800.0</v>
      </c>
      <c r="H481" s="99"/>
      <c r="I481" s="97" t="str">
        <f t="shared" si="3"/>
        <v>Родственники</v>
      </c>
      <c r="J481" s="97" t="s">
        <v>116</v>
      </c>
      <c r="K481" s="97" t="s">
        <v>115</v>
      </c>
      <c r="L481" s="97"/>
      <c r="M481" s="97"/>
      <c r="N481" s="97"/>
      <c r="O481" s="97"/>
      <c r="P481" s="97"/>
    </row>
    <row r="482">
      <c r="A482" s="92">
        <f t="shared" si="1"/>
        <v>1</v>
      </c>
      <c r="B482" s="92">
        <f t="shared" si="2"/>
        <v>4</v>
      </c>
      <c r="C482" s="93">
        <v>43219.0</v>
      </c>
      <c r="D482" s="94" t="s">
        <v>80</v>
      </c>
      <c r="E482" s="94" t="s">
        <v>24</v>
      </c>
      <c r="F482" s="94" t="s">
        <v>80</v>
      </c>
      <c r="G482" s="95">
        <v>1000.0</v>
      </c>
      <c r="H482" s="99"/>
      <c r="I482" s="97" t="str">
        <f t="shared" si="3"/>
        <v>Такси</v>
      </c>
      <c r="J482" s="97" t="s">
        <v>81</v>
      </c>
      <c r="K482" s="97" t="s">
        <v>82</v>
      </c>
      <c r="L482" s="97" t="s">
        <v>83</v>
      </c>
      <c r="M482" s="97" t="s">
        <v>84</v>
      </c>
      <c r="N482" s="97"/>
      <c r="O482" s="97"/>
      <c r="P482" s="97"/>
    </row>
    <row r="483">
      <c r="A483" s="92">
        <f t="shared" si="1"/>
        <v>1</v>
      </c>
      <c r="B483" s="92">
        <f t="shared" si="2"/>
        <v>4</v>
      </c>
      <c r="C483" s="93">
        <v>43219.0</v>
      </c>
      <c r="D483" s="94" t="s">
        <v>80</v>
      </c>
      <c r="E483" s="94" t="s">
        <v>24</v>
      </c>
      <c r="F483" s="94" t="s">
        <v>80</v>
      </c>
      <c r="G483" s="95">
        <v>116.0</v>
      </c>
      <c r="H483" s="99"/>
      <c r="I483" s="97" t="str">
        <f t="shared" si="3"/>
        <v>Такси</v>
      </c>
      <c r="J483" s="97" t="s">
        <v>81</v>
      </c>
      <c r="K483" s="97" t="s">
        <v>82</v>
      </c>
      <c r="L483" s="97" t="s">
        <v>83</v>
      </c>
      <c r="M483" s="97" t="s">
        <v>84</v>
      </c>
      <c r="N483" s="97"/>
      <c r="O483" s="97"/>
      <c r="P483" s="97"/>
    </row>
    <row r="484">
      <c r="A484" s="92">
        <f t="shared" si="1"/>
        <v>1</v>
      </c>
      <c r="B484" s="92">
        <f t="shared" si="2"/>
        <v>4</v>
      </c>
      <c r="C484" s="93">
        <v>43219.0</v>
      </c>
      <c r="D484" s="94" t="s">
        <v>138</v>
      </c>
      <c r="E484" s="94" t="s">
        <v>24</v>
      </c>
      <c r="F484" s="94" t="s">
        <v>82</v>
      </c>
      <c r="G484" s="95">
        <v>300.0</v>
      </c>
      <c r="H484" s="99"/>
      <c r="I484" s="97" t="str">
        <f t="shared" si="3"/>
        <v>Такси</v>
      </c>
      <c r="J484" s="97" t="s">
        <v>81</v>
      </c>
      <c r="K484" s="97" t="s">
        <v>82</v>
      </c>
      <c r="L484" s="97" t="s">
        <v>83</v>
      </c>
      <c r="M484" s="97" t="s">
        <v>84</v>
      </c>
      <c r="N484" s="97"/>
      <c r="O484" s="97"/>
      <c r="P484" s="97"/>
    </row>
    <row r="485">
      <c r="A485" s="92">
        <f t="shared" si="1"/>
        <v>1</v>
      </c>
      <c r="B485" s="92">
        <f t="shared" si="2"/>
        <v>4</v>
      </c>
      <c r="C485" s="93">
        <v>43219.0</v>
      </c>
      <c r="D485" s="94" t="s">
        <v>83</v>
      </c>
      <c r="E485" s="94" t="s">
        <v>24</v>
      </c>
      <c r="F485" s="94" t="s">
        <v>83</v>
      </c>
      <c r="G485" s="95">
        <v>66.0</v>
      </c>
      <c r="H485" s="99"/>
      <c r="I485" s="97" t="str">
        <f t="shared" si="3"/>
        <v>Такси</v>
      </c>
      <c r="J485" s="97" t="s">
        <v>81</v>
      </c>
      <c r="K485" s="97" t="s">
        <v>82</v>
      </c>
      <c r="L485" s="97" t="s">
        <v>83</v>
      </c>
      <c r="M485" s="97" t="s">
        <v>84</v>
      </c>
      <c r="N485" s="97"/>
      <c r="O485" s="97"/>
      <c r="P485" s="97"/>
    </row>
    <row r="486">
      <c r="A486" s="92">
        <f t="shared" si="1"/>
        <v>2</v>
      </c>
      <c r="B486" s="92">
        <f t="shared" si="2"/>
        <v>4</v>
      </c>
      <c r="C486" s="93">
        <v>43220.0</v>
      </c>
      <c r="D486" s="94" t="s">
        <v>237</v>
      </c>
      <c r="E486" s="94" t="s">
        <v>37</v>
      </c>
      <c r="F486" s="100"/>
      <c r="G486" s="95">
        <v>421.0</v>
      </c>
      <c r="H486" s="99"/>
      <c r="I486" s="97" t="str">
        <f t="shared" si="3"/>
        <v/>
      </c>
      <c r="J486" s="97"/>
      <c r="K486" s="97"/>
      <c r="L486" s="97"/>
      <c r="M486" s="97"/>
      <c r="N486" s="97"/>
      <c r="O486" s="97"/>
      <c r="P486" s="97"/>
    </row>
    <row r="487">
      <c r="A487" s="92">
        <f t="shared" si="1"/>
        <v>2</v>
      </c>
      <c r="B487" s="92">
        <f t="shared" si="2"/>
        <v>4</v>
      </c>
      <c r="C487" s="93">
        <v>43220.0</v>
      </c>
      <c r="D487" s="94" t="s">
        <v>46</v>
      </c>
      <c r="E487" s="94" t="s">
        <v>46</v>
      </c>
      <c r="F487" s="100"/>
      <c r="G487" s="95">
        <v>1000.0</v>
      </c>
      <c r="H487" s="99"/>
      <c r="I487" s="97" t="str">
        <f t="shared" si="3"/>
        <v/>
      </c>
      <c r="J487" s="97"/>
      <c r="K487" s="97"/>
      <c r="L487" s="97"/>
      <c r="M487" s="97"/>
      <c r="N487" s="97"/>
      <c r="O487" s="97"/>
      <c r="P487" s="97"/>
    </row>
    <row r="488">
      <c r="A488" s="92">
        <f t="shared" si="1"/>
        <v>3</v>
      </c>
      <c r="B488" s="92">
        <f t="shared" si="2"/>
        <v>5</v>
      </c>
      <c r="C488" s="93">
        <v>43221.0</v>
      </c>
      <c r="D488" s="94" t="s">
        <v>238</v>
      </c>
      <c r="E488" s="94" t="s">
        <v>15</v>
      </c>
      <c r="F488" s="94" t="s">
        <v>95</v>
      </c>
      <c r="G488" s="95">
        <v>350.0</v>
      </c>
      <c r="H488" s="99"/>
      <c r="I488" s="97" t="str">
        <f t="shared" si="3"/>
        <v>Обед (работа)</v>
      </c>
      <c r="J488" s="97" t="s">
        <v>93</v>
      </c>
      <c r="K488" s="97" t="s">
        <v>94</v>
      </c>
      <c r="L488" s="97" t="s">
        <v>95</v>
      </c>
      <c r="M488" s="97" t="s">
        <v>92</v>
      </c>
      <c r="N488" s="97"/>
      <c r="O488" s="97"/>
      <c r="P488" s="97"/>
    </row>
    <row r="489">
      <c r="A489" s="92">
        <f t="shared" si="1"/>
        <v>3</v>
      </c>
      <c r="B489" s="92">
        <f t="shared" si="2"/>
        <v>5</v>
      </c>
      <c r="C489" s="93">
        <v>43221.0</v>
      </c>
      <c r="D489" s="94" t="s">
        <v>80</v>
      </c>
      <c r="E489" s="94" t="s">
        <v>24</v>
      </c>
      <c r="F489" s="94" t="s">
        <v>80</v>
      </c>
      <c r="G489" s="95">
        <v>245.0</v>
      </c>
      <c r="H489" s="99"/>
      <c r="I489" s="97" t="str">
        <f t="shared" si="3"/>
        <v>Такси</v>
      </c>
      <c r="J489" s="97" t="s">
        <v>81</v>
      </c>
      <c r="K489" s="97" t="s">
        <v>82</v>
      </c>
      <c r="L489" s="97" t="s">
        <v>83</v>
      </c>
      <c r="M489" s="97" t="s">
        <v>84</v>
      </c>
      <c r="N489" s="97"/>
      <c r="O489" s="97"/>
      <c r="P489" s="97"/>
    </row>
    <row r="490">
      <c r="A490" s="92">
        <f t="shared" si="1"/>
        <v>3</v>
      </c>
      <c r="B490" s="92">
        <f t="shared" si="2"/>
        <v>5</v>
      </c>
      <c r="C490" s="93">
        <v>43221.0</v>
      </c>
      <c r="D490" s="94" t="s">
        <v>102</v>
      </c>
      <c r="E490" s="94" t="s">
        <v>21</v>
      </c>
      <c r="F490" s="94" t="s">
        <v>102</v>
      </c>
      <c r="G490" s="95">
        <v>687.0</v>
      </c>
      <c r="H490" s="99"/>
      <c r="I490" s="97" t="str">
        <f t="shared" si="3"/>
        <v>Вино</v>
      </c>
      <c r="J490" s="97" t="s">
        <v>97</v>
      </c>
      <c r="K490" s="97" t="s">
        <v>98</v>
      </c>
      <c r="L490" s="97" t="s">
        <v>99</v>
      </c>
      <c r="M490" s="97" t="s">
        <v>100</v>
      </c>
      <c r="N490" s="97"/>
      <c r="O490" s="97"/>
      <c r="P490" s="97"/>
    </row>
    <row r="491">
      <c r="A491" s="92">
        <f t="shared" si="1"/>
        <v>4</v>
      </c>
      <c r="B491" s="92">
        <f t="shared" si="2"/>
        <v>5</v>
      </c>
      <c r="C491" s="93">
        <v>43222.0</v>
      </c>
      <c r="D491" s="94" t="s">
        <v>80</v>
      </c>
      <c r="E491" s="94" t="s">
        <v>24</v>
      </c>
      <c r="F491" s="94" t="s">
        <v>80</v>
      </c>
      <c r="G491" s="95">
        <v>133.0</v>
      </c>
      <c r="H491" s="99"/>
      <c r="I491" s="97" t="str">
        <f t="shared" si="3"/>
        <v>Такси</v>
      </c>
      <c r="J491" s="97" t="s">
        <v>81</v>
      </c>
      <c r="K491" s="97" t="s">
        <v>82</v>
      </c>
      <c r="L491" s="97" t="s">
        <v>83</v>
      </c>
      <c r="M491" s="97" t="s">
        <v>84</v>
      </c>
      <c r="N491" s="97"/>
      <c r="O491" s="97"/>
      <c r="P491" s="97"/>
    </row>
    <row r="492">
      <c r="A492" s="92">
        <f t="shared" si="1"/>
        <v>4</v>
      </c>
      <c r="B492" s="92">
        <f t="shared" si="2"/>
        <v>5</v>
      </c>
      <c r="C492" s="93">
        <v>43222.0</v>
      </c>
      <c r="D492" s="94" t="s">
        <v>26</v>
      </c>
      <c r="E492" s="94" t="s">
        <v>26</v>
      </c>
      <c r="F492" s="100"/>
      <c r="G492" s="95">
        <v>2700.0</v>
      </c>
      <c r="H492" s="99"/>
      <c r="I492" s="97" t="str">
        <f t="shared" si="3"/>
        <v/>
      </c>
      <c r="J492" s="97"/>
      <c r="K492" s="97"/>
      <c r="L492" s="97"/>
      <c r="M492" s="97"/>
      <c r="N492" s="97"/>
      <c r="O492" s="97"/>
      <c r="P492" s="97"/>
    </row>
    <row r="493">
      <c r="A493" s="92">
        <f t="shared" si="1"/>
        <v>4</v>
      </c>
      <c r="B493" s="92">
        <f t="shared" si="2"/>
        <v>5</v>
      </c>
      <c r="C493" s="93">
        <v>43222.0</v>
      </c>
      <c r="D493" s="94" t="s">
        <v>239</v>
      </c>
      <c r="E493" s="94" t="s">
        <v>40</v>
      </c>
      <c r="F493" s="100"/>
      <c r="G493" s="95">
        <v>299.0</v>
      </c>
      <c r="H493" s="99"/>
      <c r="I493" s="97" t="str">
        <f t="shared" si="3"/>
        <v/>
      </c>
      <c r="J493" s="97"/>
      <c r="K493" s="97"/>
      <c r="L493" s="97"/>
      <c r="M493" s="97"/>
      <c r="N493" s="97"/>
      <c r="O493" s="97"/>
      <c r="P493" s="97"/>
    </row>
    <row r="494">
      <c r="A494" s="92">
        <f t="shared" si="1"/>
        <v>5</v>
      </c>
      <c r="B494" s="92">
        <f t="shared" si="2"/>
        <v>5</v>
      </c>
      <c r="C494" s="93">
        <v>43223.0</v>
      </c>
      <c r="D494" s="94" t="s">
        <v>91</v>
      </c>
      <c r="E494" s="94" t="s">
        <v>15</v>
      </c>
      <c r="F494" s="94" t="s">
        <v>117</v>
      </c>
      <c r="G494" s="95">
        <v>259.0</v>
      </c>
      <c r="H494" s="99"/>
      <c r="I494" s="97" t="str">
        <f t="shared" si="3"/>
        <v>Обед (работа)</v>
      </c>
      <c r="J494" s="97" t="s">
        <v>93</v>
      </c>
      <c r="K494" s="97" t="s">
        <v>94</v>
      </c>
      <c r="L494" s="97" t="s">
        <v>95</v>
      </c>
      <c r="M494" s="97" t="s">
        <v>92</v>
      </c>
      <c r="N494" s="97"/>
      <c r="O494" s="97"/>
      <c r="P494" s="97"/>
    </row>
    <row r="495">
      <c r="A495" s="92">
        <f t="shared" si="1"/>
        <v>6</v>
      </c>
      <c r="B495" s="92">
        <f t="shared" si="2"/>
        <v>5</v>
      </c>
      <c r="C495" s="93">
        <v>43224.0</v>
      </c>
      <c r="D495" s="94" t="s">
        <v>80</v>
      </c>
      <c r="E495" s="94" t="s">
        <v>24</v>
      </c>
      <c r="F495" s="94" t="s">
        <v>80</v>
      </c>
      <c r="G495" s="95">
        <v>118.0</v>
      </c>
      <c r="H495" s="99"/>
      <c r="I495" s="97" t="str">
        <f t="shared" si="3"/>
        <v>Такси</v>
      </c>
      <c r="J495" s="97" t="s">
        <v>81</v>
      </c>
      <c r="K495" s="97" t="s">
        <v>82</v>
      </c>
      <c r="L495" s="97" t="s">
        <v>83</v>
      </c>
      <c r="M495" s="97" t="s">
        <v>84</v>
      </c>
      <c r="N495" s="97"/>
      <c r="O495" s="97"/>
      <c r="P495" s="97"/>
    </row>
    <row r="496">
      <c r="A496" s="92">
        <f t="shared" si="1"/>
        <v>6</v>
      </c>
      <c r="B496" s="92">
        <f t="shared" si="2"/>
        <v>5</v>
      </c>
      <c r="C496" s="93">
        <v>43224.0</v>
      </c>
      <c r="D496" s="94" t="s">
        <v>80</v>
      </c>
      <c r="E496" s="94" t="s">
        <v>24</v>
      </c>
      <c r="F496" s="94" t="s">
        <v>80</v>
      </c>
      <c r="G496" s="95">
        <v>162.0</v>
      </c>
      <c r="H496" s="99"/>
      <c r="I496" s="97" t="str">
        <f t="shared" si="3"/>
        <v>Такси</v>
      </c>
      <c r="J496" s="97" t="s">
        <v>81</v>
      </c>
      <c r="K496" s="97" t="s">
        <v>82</v>
      </c>
      <c r="L496" s="97" t="s">
        <v>83</v>
      </c>
      <c r="M496" s="97" t="s">
        <v>84</v>
      </c>
      <c r="N496" s="97"/>
      <c r="O496" s="97"/>
      <c r="P496" s="97"/>
    </row>
    <row r="497">
      <c r="A497" s="92">
        <f t="shared" si="1"/>
        <v>6</v>
      </c>
      <c r="B497" s="92">
        <f t="shared" si="2"/>
        <v>5</v>
      </c>
      <c r="C497" s="93">
        <v>43224.0</v>
      </c>
      <c r="D497" s="94" t="s">
        <v>225</v>
      </c>
      <c r="E497" s="94" t="s">
        <v>18</v>
      </c>
      <c r="F497" s="94" t="s">
        <v>115</v>
      </c>
      <c r="G497" s="95">
        <v>200.0</v>
      </c>
      <c r="H497" s="99"/>
      <c r="I497" s="97" t="str">
        <f t="shared" si="3"/>
        <v>Родственники</v>
      </c>
      <c r="J497" s="97" t="s">
        <v>116</v>
      </c>
      <c r="K497" s="97" t="s">
        <v>115</v>
      </c>
      <c r="L497" s="97"/>
      <c r="M497" s="97"/>
      <c r="N497" s="97"/>
      <c r="O497" s="97"/>
      <c r="P497" s="97"/>
    </row>
    <row r="498">
      <c r="A498" s="92">
        <f t="shared" si="1"/>
        <v>6</v>
      </c>
      <c r="B498" s="92">
        <f t="shared" si="2"/>
        <v>5</v>
      </c>
      <c r="C498" s="93">
        <v>43224.0</v>
      </c>
      <c r="D498" s="94" t="s">
        <v>91</v>
      </c>
      <c r="E498" s="94" t="s">
        <v>15</v>
      </c>
      <c r="F498" s="94" t="s">
        <v>117</v>
      </c>
      <c r="G498" s="95">
        <v>263.0</v>
      </c>
      <c r="H498" s="99"/>
      <c r="I498" s="97" t="str">
        <f t="shared" si="3"/>
        <v>Обед (работа)</v>
      </c>
      <c r="J498" s="97" t="s">
        <v>93</v>
      </c>
      <c r="K498" s="97" t="s">
        <v>94</v>
      </c>
      <c r="L498" s="97" t="s">
        <v>95</v>
      </c>
      <c r="M498" s="97" t="s">
        <v>92</v>
      </c>
      <c r="N498" s="97"/>
      <c r="O498" s="97"/>
      <c r="P498" s="97"/>
    </row>
    <row r="499">
      <c r="A499" s="92">
        <f t="shared" si="1"/>
        <v>6</v>
      </c>
      <c r="B499" s="92">
        <f t="shared" si="2"/>
        <v>5</v>
      </c>
      <c r="C499" s="93">
        <v>43224.0</v>
      </c>
      <c r="D499" s="94" t="s">
        <v>240</v>
      </c>
      <c r="E499" s="94" t="s">
        <v>30</v>
      </c>
      <c r="F499" s="94" t="s">
        <v>87</v>
      </c>
      <c r="G499" s="95">
        <v>2000.0</v>
      </c>
      <c r="H499" s="99"/>
      <c r="I499" s="97" t="str">
        <f t="shared" si="3"/>
        <v>Бар</v>
      </c>
      <c r="J499" s="97" t="s">
        <v>87</v>
      </c>
      <c r="K499" s="97" t="s">
        <v>88</v>
      </c>
      <c r="L499" s="97" t="s">
        <v>89</v>
      </c>
      <c r="M499" s="97" t="s">
        <v>90</v>
      </c>
      <c r="N499" s="97"/>
      <c r="O499" s="97"/>
      <c r="P499" s="97"/>
    </row>
    <row r="500">
      <c r="A500" s="92">
        <f t="shared" si="1"/>
        <v>7</v>
      </c>
      <c r="B500" s="92">
        <f t="shared" si="2"/>
        <v>5</v>
      </c>
      <c r="C500" s="93">
        <v>43225.0</v>
      </c>
      <c r="D500" s="101" t="s">
        <v>124</v>
      </c>
      <c r="E500" s="100"/>
      <c r="F500" s="100"/>
      <c r="G500" s="95">
        <v>0.0</v>
      </c>
      <c r="H500" s="99"/>
      <c r="I500" s="97" t="str">
        <f t="shared" si="3"/>
        <v/>
      </c>
      <c r="J500" s="97"/>
      <c r="K500" s="97"/>
      <c r="L500" s="97"/>
      <c r="M500" s="97"/>
      <c r="N500" s="97"/>
      <c r="O500" s="97"/>
      <c r="P500" s="97"/>
    </row>
    <row r="501">
      <c r="A501" s="92">
        <f t="shared" si="1"/>
        <v>1</v>
      </c>
      <c r="B501" s="92">
        <f t="shared" si="2"/>
        <v>5</v>
      </c>
      <c r="C501" s="93">
        <v>43226.0</v>
      </c>
      <c r="D501" s="94" t="s">
        <v>80</v>
      </c>
      <c r="E501" s="94" t="s">
        <v>24</v>
      </c>
      <c r="F501" s="94" t="s">
        <v>80</v>
      </c>
      <c r="G501" s="95">
        <v>162.0</v>
      </c>
      <c r="H501" s="99"/>
      <c r="I501" s="97" t="str">
        <f t="shared" si="3"/>
        <v>Такси</v>
      </c>
      <c r="J501" s="97" t="s">
        <v>81</v>
      </c>
      <c r="K501" s="97" t="s">
        <v>82</v>
      </c>
      <c r="L501" s="97" t="s">
        <v>83</v>
      </c>
      <c r="M501" s="97" t="s">
        <v>84</v>
      </c>
      <c r="N501" s="97"/>
      <c r="O501" s="97"/>
      <c r="P501" s="97"/>
    </row>
    <row r="502">
      <c r="A502" s="92">
        <f t="shared" si="1"/>
        <v>2</v>
      </c>
      <c r="B502" s="92">
        <f t="shared" si="2"/>
        <v>5</v>
      </c>
      <c r="C502" s="93">
        <v>43227.0</v>
      </c>
      <c r="D502" s="94" t="s">
        <v>80</v>
      </c>
      <c r="E502" s="94" t="s">
        <v>24</v>
      </c>
      <c r="F502" s="94" t="s">
        <v>80</v>
      </c>
      <c r="G502" s="95">
        <v>118.0</v>
      </c>
      <c r="H502" s="99"/>
      <c r="I502" s="97" t="str">
        <f t="shared" si="3"/>
        <v>Такси</v>
      </c>
      <c r="J502" s="97" t="s">
        <v>81</v>
      </c>
      <c r="K502" s="97" t="s">
        <v>82</v>
      </c>
      <c r="L502" s="97" t="s">
        <v>83</v>
      </c>
      <c r="M502" s="97" t="s">
        <v>84</v>
      </c>
      <c r="N502" s="97"/>
      <c r="O502" s="97"/>
      <c r="P502" s="97"/>
    </row>
    <row r="503">
      <c r="A503" s="92">
        <f t="shared" si="1"/>
        <v>2</v>
      </c>
      <c r="B503" s="92">
        <f t="shared" si="2"/>
        <v>5</v>
      </c>
      <c r="C503" s="93">
        <v>43227.0</v>
      </c>
      <c r="D503" s="94" t="s">
        <v>83</v>
      </c>
      <c r="E503" s="94" t="s">
        <v>24</v>
      </c>
      <c r="F503" s="94" t="s">
        <v>83</v>
      </c>
      <c r="G503" s="95">
        <v>44.0</v>
      </c>
      <c r="H503" s="99"/>
      <c r="I503" s="97" t="str">
        <f t="shared" si="3"/>
        <v>Такси</v>
      </c>
      <c r="J503" s="97" t="s">
        <v>81</v>
      </c>
      <c r="K503" s="97" t="s">
        <v>82</v>
      </c>
      <c r="L503" s="97" t="s">
        <v>83</v>
      </c>
      <c r="M503" s="97" t="s">
        <v>84</v>
      </c>
      <c r="N503" s="97"/>
      <c r="O503" s="97"/>
      <c r="P503" s="97"/>
    </row>
    <row r="504">
      <c r="A504" s="92">
        <f t="shared" si="1"/>
        <v>2</v>
      </c>
      <c r="B504" s="92">
        <f t="shared" si="2"/>
        <v>5</v>
      </c>
      <c r="C504" s="93">
        <v>43227.0</v>
      </c>
      <c r="D504" s="94" t="s">
        <v>241</v>
      </c>
      <c r="E504" s="94" t="s">
        <v>15</v>
      </c>
      <c r="F504" s="94" t="s">
        <v>117</v>
      </c>
      <c r="G504" s="95">
        <v>141.0</v>
      </c>
      <c r="H504" s="99"/>
      <c r="I504" s="97" t="str">
        <f t="shared" si="3"/>
        <v>Обед (работа)</v>
      </c>
      <c r="J504" s="97" t="s">
        <v>93</v>
      </c>
      <c r="K504" s="97" t="s">
        <v>94</v>
      </c>
      <c r="L504" s="97" t="s">
        <v>95</v>
      </c>
      <c r="M504" s="97" t="s">
        <v>92</v>
      </c>
      <c r="N504" s="97"/>
      <c r="O504" s="97"/>
      <c r="P504" s="97"/>
    </row>
    <row r="505">
      <c r="A505" s="92">
        <f t="shared" si="1"/>
        <v>2</v>
      </c>
      <c r="B505" s="92">
        <f t="shared" si="2"/>
        <v>5</v>
      </c>
      <c r="C505" s="93">
        <v>43227.0</v>
      </c>
      <c r="D505" s="94" t="s">
        <v>91</v>
      </c>
      <c r="E505" s="94" t="s">
        <v>15</v>
      </c>
      <c r="F505" s="94" t="s">
        <v>117</v>
      </c>
      <c r="G505" s="95">
        <v>361.0</v>
      </c>
      <c r="H505" s="99"/>
      <c r="I505" s="97" t="str">
        <f t="shared" si="3"/>
        <v>Обед (работа)</v>
      </c>
      <c r="J505" s="97" t="s">
        <v>93</v>
      </c>
      <c r="K505" s="97" t="s">
        <v>94</v>
      </c>
      <c r="L505" s="97" t="s">
        <v>95</v>
      </c>
      <c r="M505" s="97" t="s">
        <v>92</v>
      </c>
      <c r="N505" s="97"/>
      <c r="O505" s="97"/>
      <c r="P505" s="97"/>
    </row>
    <row r="506">
      <c r="A506" s="92">
        <f t="shared" si="1"/>
        <v>2</v>
      </c>
      <c r="B506" s="92">
        <f t="shared" si="2"/>
        <v>5</v>
      </c>
      <c r="C506" s="93">
        <v>43227.0</v>
      </c>
      <c r="D506" s="94" t="s">
        <v>242</v>
      </c>
      <c r="E506" s="94" t="s">
        <v>15</v>
      </c>
      <c r="F506" s="94" t="s">
        <v>93</v>
      </c>
      <c r="G506" s="95">
        <v>250.0</v>
      </c>
      <c r="H506" s="99"/>
      <c r="I506" s="97" t="str">
        <f t="shared" si="3"/>
        <v>Обед (работа)</v>
      </c>
      <c r="J506" s="97" t="s">
        <v>93</v>
      </c>
      <c r="K506" s="97" t="s">
        <v>94</v>
      </c>
      <c r="L506" s="97" t="s">
        <v>95</v>
      </c>
      <c r="M506" s="97" t="s">
        <v>92</v>
      </c>
      <c r="N506" s="97"/>
      <c r="O506" s="97"/>
      <c r="P506" s="97"/>
    </row>
    <row r="507">
      <c r="A507" s="92">
        <f t="shared" si="1"/>
        <v>2</v>
      </c>
      <c r="B507" s="92">
        <f t="shared" si="2"/>
        <v>5</v>
      </c>
      <c r="C507" s="93">
        <v>43227.0</v>
      </c>
      <c r="D507" s="94" t="s">
        <v>26</v>
      </c>
      <c r="E507" s="94" t="s">
        <v>26</v>
      </c>
      <c r="F507" s="100"/>
      <c r="G507" s="95">
        <v>328.0</v>
      </c>
      <c r="H507" s="99"/>
      <c r="I507" s="97" t="str">
        <f t="shared" si="3"/>
        <v/>
      </c>
      <c r="J507" s="97"/>
      <c r="K507" s="97"/>
      <c r="L507" s="97"/>
      <c r="M507" s="97"/>
      <c r="N507" s="97"/>
      <c r="O507" s="97"/>
      <c r="P507" s="97"/>
    </row>
    <row r="508">
      <c r="A508" s="92">
        <f t="shared" si="1"/>
        <v>3</v>
      </c>
      <c r="B508" s="92">
        <f t="shared" si="2"/>
        <v>5</v>
      </c>
      <c r="C508" s="93">
        <v>43228.0</v>
      </c>
      <c r="D508" s="94" t="s">
        <v>80</v>
      </c>
      <c r="E508" s="94" t="s">
        <v>24</v>
      </c>
      <c r="F508" s="94" t="s">
        <v>80</v>
      </c>
      <c r="G508" s="95">
        <v>121.0</v>
      </c>
      <c r="H508" s="99"/>
      <c r="I508" s="97" t="str">
        <f t="shared" si="3"/>
        <v>Такси</v>
      </c>
      <c r="J508" s="97" t="s">
        <v>81</v>
      </c>
      <c r="K508" s="97" t="s">
        <v>82</v>
      </c>
      <c r="L508" s="97" t="s">
        <v>83</v>
      </c>
      <c r="M508" s="97" t="s">
        <v>84</v>
      </c>
      <c r="N508" s="97"/>
      <c r="O508" s="97"/>
      <c r="P508" s="97"/>
    </row>
    <row r="509">
      <c r="A509" s="92">
        <f t="shared" si="1"/>
        <v>3</v>
      </c>
      <c r="B509" s="92">
        <f t="shared" si="2"/>
        <v>5</v>
      </c>
      <c r="C509" s="93">
        <v>43228.0</v>
      </c>
      <c r="D509" s="94" t="s">
        <v>91</v>
      </c>
      <c r="E509" s="94" t="s">
        <v>15</v>
      </c>
      <c r="F509" s="94" t="s">
        <v>117</v>
      </c>
      <c r="G509" s="95">
        <v>315.0</v>
      </c>
      <c r="H509" s="99"/>
      <c r="I509" s="97" t="str">
        <f t="shared" si="3"/>
        <v>Обед (работа)</v>
      </c>
      <c r="J509" s="97" t="s">
        <v>93</v>
      </c>
      <c r="K509" s="97" t="s">
        <v>94</v>
      </c>
      <c r="L509" s="97" t="s">
        <v>95</v>
      </c>
      <c r="M509" s="97" t="s">
        <v>92</v>
      </c>
      <c r="N509" s="97"/>
      <c r="O509" s="97"/>
      <c r="P509" s="97"/>
    </row>
    <row r="510">
      <c r="A510" s="92">
        <f t="shared" si="1"/>
        <v>3</v>
      </c>
      <c r="B510" s="92">
        <f t="shared" si="2"/>
        <v>5</v>
      </c>
      <c r="C510" s="93">
        <v>43228.0</v>
      </c>
      <c r="D510" s="94" t="s">
        <v>243</v>
      </c>
      <c r="E510" s="94" t="s">
        <v>15</v>
      </c>
      <c r="F510" s="94" t="s">
        <v>95</v>
      </c>
      <c r="G510" s="95">
        <v>80.0</v>
      </c>
      <c r="H510" s="99"/>
      <c r="I510" s="97" t="str">
        <f t="shared" si="3"/>
        <v>Обед (работа)</v>
      </c>
      <c r="J510" s="97" t="s">
        <v>93</v>
      </c>
      <c r="K510" s="97" t="s">
        <v>94</v>
      </c>
      <c r="L510" s="97" t="s">
        <v>95</v>
      </c>
      <c r="M510" s="97" t="s">
        <v>92</v>
      </c>
      <c r="N510" s="97"/>
      <c r="O510" s="97"/>
      <c r="P510" s="97"/>
    </row>
    <row r="511">
      <c r="A511" s="92">
        <f t="shared" si="1"/>
        <v>3</v>
      </c>
      <c r="B511" s="92">
        <f t="shared" si="2"/>
        <v>5</v>
      </c>
      <c r="C511" s="93">
        <v>43228.0</v>
      </c>
      <c r="D511" s="94" t="s">
        <v>102</v>
      </c>
      <c r="E511" s="94" t="s">
        <v>21</v>
      </c>
      <c r="F511" s="94" t="s">
        <v>102</v>
      </c>
      <c r="G511" s="95">
        <v>473.0</v>
      </c>
      <c r="H511" s="99"/>
      <c r="I511" s="97" t="str">
        <f t="shared" si="3"/>
        <v>Вино</v>
      </c>
      <c r="J511" s="97" t="s">
        <v>97</v>
      </c>
      <c r="K511" s="97" t="s">
        <v>98</v>
      </c>
      <c r="L511" s="97" t="s">
        <v>99</v>
      </c>
      <c r="M511" s="97" t="s">
        <v>100</v>
      </c>
      <c r="N511" s="97"/>
      <c r="O511" s="97"/>
      <c r="P511" s="97"/>
    </row>
    <row r="512">
      <c r="A512" s="92">
        <f t="shared" si="1"/>
        <v>3</v>
      </c>
      <c r="B512" s="92">
        <f t="shared" si="2"/>
        <v>5</v>
      </c>
      <c r="C512" s="93">
        <v>43228.0</v>
      </c>
      <c r="D512" s="94" t="s">
        <v>98</v>
      </c>
      <c r="E512" s="94" t="s">
        <v>21</v>
      </c>
      <c r="F512" s="94" t="s">
        <v>98</v>
      </c>
      <c r="G512" s="95">
        <v>120.0</v>
      </c>
      <c r="H512" s="99"/>
      <c r="I512" s="97" t="str">
        <f t="shared" si="3"/>
        <v>Вино</v>
      </c>
      <c r="J512" s="97" t="s">
        <v>97</v>
      </c>
      <c r="K512" s="97" t="s">
        <v>98</v>
      </c>
      <c r="L512" s="97" t="s">
        <v>99</v>
      </c>
      <c r="M512" s="97" t="s">
        <v>100</v>
      </c>
      <c r="N512" s="97"/>
      <c r="O512" s="97"/>
      <c r="P512" s="97"/>
    </row>
    <row r="513">
      <c r="A513" s="92">
        <f t="shared" si="1"/>
        <v>3</v>
      </c>
      <c r="B513" s="92">
        <f t="shared" si="2"/>
        <v>5</v>
      </c>
      <c r="C513" s="93">
        <v>43228.0</v>
      </c>
      <c r="D513" s="94" t="s">
        <v>244</v>
      </c>
      <c r="E513" s="94" t="s">
        <v>46</v>
      </c>
      <c r="F513" s="100"/>
      <c r="G513" s="95">
        <v>70.0</v>
      </c>
      <c r="H513" s="99"/>
      <c r="I513" s="97" t="str">
        <f t="shared" si="3"/>
        <v/>
      </c>
      <c r="J513" s="97"/>
      <c r="K513" s="97"/>
      <c r="L513" s="97"/>
      <c r="M513" s="97"/>
      <c r="N513" s="97"/>
      <c r="O513" s="97"/>
      <c r="P513" s="97"/>
    </row>
    <row r="514">
      <c r="A514" s="92">
        <f t="shared" si="1"/>
        <v>3</v>
      </c>
      <c r="B514" s="92">
        <f t="shared" si="2"/>
        <v>5</v>
      </c>
      <c r="C514" s="93">
        <v>43228.0</v>
      </c>
      <c r="D514" s="94" t="s">
        <v>80</v>
      </c>
      <c r="E514" s="94" t="s">
        <v>24</v>
      </c>
      <c r="F514" s="94" t="s">
        <v>80</v>
      </c>
      <c r="G514" s="95">
        <v>143.0</v>
      </c>
      <c r="H514" s="99"/>
      <c r="I514" s="97" t="str">
        <f t="shared" si="3"/>
        <v>Такси</v>
      </c>
      <c r="J514" s="97" t="s">
        <v>81</v>
      </c>
      <c r="K514" s="97" t="s">
        <v>82</v>
      </c>
      <c r="L514" s="97" t="s">
        <v>83</v>
      </c>
      <c r="M514" s="97" t="s">
        <v>84</v>
      </c>
      <c r="N514" s="97"/>
      <c r="O514" s="97"/>
      <c r="P514" s="97"/>
    </row>
    <row r="515">
      <c r="A515" s="92">
        <f t="shared" si="1"/>
        <v>4</v>
      </c>
      <c r="B515" s="92">
        <f t="shared" si="2"/>
        <v>5</v>
      </c>
      <c r="C515" s="93">
        <v>43229.0</v>
      </c>
      <c r="D515" s="94" t="s">
        <v>80</v>
      </c>
      <c r="E515" s="94" t="s">
        <v>24</v>
      </c>
      <c r="F515" s="94" t="s">
        <v>80</v>
      </c>
      <c r="G515" s="95">
        <v>241.0</v>
      </c>
      <c r="H515" s="99"/>
      <c r="I515" s="97" t="str">
        <f t="shared" si="3"/>
        <v>Такси</v>
      </c>
      <c r="J515" s="97" t="s">
        <v>81</v>
      </c>
      <c r="K515" s="97" t="s">
        <v>82</v>
      </c>
      <c r="L515" s="97" t="s">
        <v>83</v>
      </c>
      <c r="M515" s="97" t="s">
        <v>84</v>
      </c>
      <c r="N515" s="97"/>
      <c r="O515" s="97"/>
      <c r="P515" s="97"/>
    </row>
    <row r="516">
      <c r="A516" s="92">
        <f t="shared" si="1"/>
        <v>4</v>
      </c>
      <c r="B516" s="92">
        <f t="shared" si="2"/>
        <v>5</v>
      </c>
      <c r="C516" s="93">
        <v>43229.0</v>
      </c>
      <c r="D516" s="94" t="s">
        <v>102</v>
      </c>
      <c r="E516" s="94" t="s">
        <v>21</v>
      </c>
      <c r="F516" s="94" t="s">
        <v>102</v>
      </c>
      <c r="G516" s="95">
        <v>400.0</v>
      </c>
      <c r="H516" s="99"/>
      <c r="I516" s="97" t="str">
        <f t="shared" si="3"/>
        <v>Вино</v>
      </c>
      <c r="J516" s="97" t="s">
        <v>97</v>
      </c>
      <c r="K516" s="97" t="s">
        <v>98</v>
      </c>
      <c r="L516" s="97" t="s">
        <v>99</v>
      </c>
      <c r="M516" s="97" t="s">
        <v>100</v>
      </c>
      <c r="N516" s="97"/>
      <c r="O516" s="97"/>
      <c r="P516" s="97"/>
    </row>
    <row r="517">
      <c r="A517" s="92">
        <f t="shared" si="1"/>
        <v>4</v>
      </c>
      <c r="B517" s="92">
        <f t="shared" si="2"/>
        <v>5</v>
      </c>
      <c r="C517" s="93">
        <v>43229.0</v>
      </c>
      <c r="D517" s="94" t="s">
        <v>97</v>
      </c>
      <c r="E517" s="94" t="s">
        <v>21</v>
      </c>
      <c r="F517" s="94" t="s">
        <v>97</v>
      </c>
      <c r="G517" s="95">
        <v>275.0</v>
      </c>
      <c r="H517" s="99"/>
      <c r="I517" s="97" t="str">
        <f t="shared" si="3"/>
        <v>Вино</v>
      </c>
      <c r="J517" s="97" t="s">
        <v>97</v>
      </c>
      <c r="K517" s="97" t="s">
        <v>98</v>
      </c>
      <c r="L517" s="97" t="s">
        <v>99</v>
      </c>
      <c r="M517" s="97" t="s">
        <v>100</v>
      </c>
      <c r="N517" s="97"/>
      <c r="O517" s="97"/>
      <c r="P517" s="97"/>
    </row>
    <row r="518">
      <c r="A518" s="92">
        <f t="shared" si="1"/>
        <v>4</v>
      </c>
      <c r="B518" s="92">
        <f t="shared" si="2"/>
        <v>5</v>
      </c>
      <c r="C518" s="93">
        <v>43229.0</v>
      </c>
      <c r="D518" s="94" t="s">
        <v>97</v>
      </c>
      <c r="E518" s="94" t="s">
        <v>21</v>
      </c>
      <c r="F518" s="94" t="s">
        <v>97</v>
      </c>
      <c r="G518" s="95">
        <v>300.0</v>
      </c>
      <c r="H518" s="99"/>
      <c r="I518" s="97" t="str">
        <f t="shared" si="3"/>
        <v>Вино</v>
      </c>
      <c r="J518" s="97" t="s">
        <v>97</v>
      </c>
      <c r="K518" s="97" t="s">
        <v>98</v>
      </c>
      <c r="L518" s="97" t="s">
        <v>99</v>
      </c>
      <c r="M518" s="97" t="s">
        <v>100</v>
      </c>
      <c r="N518" s="97"/>
      <c r="O518" s="97"/>
      <c r="P518" s="97"/>
    </row>
    <row r="519">
      <c r="A519" s="92">
        <f t="shared" si="1"/>
        <v>4</v>
      </c>
      <c r="B519" s="92">
        <f t="shared" si="2"/>
        <v>5</v>
      </c>
      <c r="C519" s="93">
        <v>43229.0</v>
      </c>
      <c r="D519" s="94" t="s">
        <v>205</v>
      </c>
      <c r="E519" s="94" t="s">
        <v>15</v>
      </c>
      <c r="F519" s="94" t="s">
        <v>95</v>
      </c>
      <c r="G519" s="95">
        <v>250.0</v>
      </c>
      <c r="H519" s="99"/>
      <c r="I519" s="97" t="str">
        <f t="shared" si="3"/>
        <v>Обед (работа)</v>
      </c>
      <c r="J519" s="97" t="s">
        <v>93</v>
      </c>
      <c r="K519" s="97" t="s">
        <v>94</v>
      </c>
      <c r="L519" s="97" t="s">
        <v>95</v>
      </c>
      <c r="M519" s="97" t="s">
        <v>92</v>
      </c>
      <c r="N519" s="97"/>
      <c r="O519" s="97"/>
      <c r="P519" s="97"/>
    </row>
    <row r="520">
      <c r="A520" s="92">
        <f t="shared" si="1"/>
        <v>5</v>
      </c>
      <c r="B520" s="92">
        <f t="shared" si="2"/>
        <v>5</v>
      </c>
      <c r="C520" s="93">
        <v>43230.0</v>
      </c>
      <c r="D520" s="94" t="s">
        <v>80</v>
      </c>
      <c r="E520" s="94" t="s">
        <v>24</v>
      </c>
      <c r="F520" s="94" t="s">
        <v>80</v>
      </c>
      <c r="G520" s="95">
        <v>120.0</v>
      </c>
      <c r="H520" s="99"/>
      <c r="I520" s="97" t="str">
        <f t="shared" si="3"/>
        <v>Такси</v>
      </c>
      <c r="J520" s="97" t="s">
        <v>81</v>
      </c>
      <c r="K520" s="97" t="s">
        <v>82</v>
      </c>
      <c r="L520" s="97" t="s">
        <v>83</v>
      </c>
      <c r="M520" s="97" t="s">
        <v>84</v>
      </c>
      <c r="N520" s="97"/>
      <c r="O520" s="97"/>
      <c r="P520" s="97"/>
    </row>
    <row r="521">
      <c r="A521" s="92">
        <f t="shared" si="1"/>
        <v>5</v>
      </c>
      <c r="B521" s="92">
        <f t="shared" si="2"/>
        <v>5</v>
      </c>
      <c r="C521" s="93">
        <v>43230.0</v>
      </c>
      <c r="D521" s="94" t="s">
        <v>118</v>
      </c>
      <c r="E521" s="94" t="s">
        <v>40</v>
      </c>
      <c r="F521" s="100"/>
      <c r="G521" s="95">
        <v>169.0</v>
      </c>
      <c r="H521" s="99"/>
      <c r="I521" s="97" t="str">
        <f t="shared" si="3"/>
        <v/>
      </c>
      <c r="J521" s="97"/>
      <c r="K521" s="97"/>
      <c r="L521" s="97"/>
      <c r="M521" s="97"/>
      <c r="N521" s="97"/>
      <c r="O521" s="97"/>
      <c r="P521" s="97"/>
    </row>
    <row r="522">
      <c r="A522" s="92">
        <f t="shared" si="1"/>
        <v>5</v>
      </c>
      <c r="B522" s="92">
        <f t="shared" si="2"/>
        <v>5</v>
      </c>
      <c r="C522" s="93">
        <v>43230.0</v>
      </c>
      <c r="D522" s="94" t="s">
        <v>83</v>
      </c>
      <c r="E522" s="94" t="s">
        <v>24</v>
      </c>
      <c r="F522" s="94" t="s">
        <v>83</v>
      </c>
      <c r="G522" s="95">
        <v>44.0</v>
      </c>
      <c r="H522" s="99"/>
      <c r="I522" s="97" t="str">
        <f t="shared" si="3"/>
        <v>Такси</v>
      </c>
      <c r="J522" s="97" t="s">
        <v>81</v>
      </c>
      <c r="K522" s="97" t="s">
        <v>82</v>
      </c>
      <c r="L522" s="97" t="s">
        <v>83</v>
      </c>
      <c r="M522" s="97" t="s">
        <v>84</v>
      </c>
      <c r="N522" s="97"/>
      <c r="O522" s="97"/>
      <c r="P522" s="97"/>
    </row>
    <row r="523">
      <c r="A523" s="92">
        <f t="shared" si="1"/>
        <v>5</v>
      </c>
      <c r="B523" s="92">
        <f t="shared" si="2"/>
        <v>5</v>
      </c>
      <c r="C523" s="93">
        <v>43230.0</v>
      </c>
      <c r="D523" s="94" t="s">
        <v>91</v>
      </c>
      <c r="E523" s="94" t="s">
        <v>15</v>
      </c>
      <c r="F523" s="94" t="s">
        <v>117</v>
      </c>
      <c r="G523" s="95">
        <v>500.0</v>
      </c>
      <c r="H523" s="99"/>
      <c r="I523" s="97" t="str">
        <f t="shared" si="3"/>
        <v>Обед (работа)</v>
      </c>
      <c r="J523" s="97" t="s">
        <v>93</v>
      </c>
      <c r="K523" s="97" t="s">
        <v>94</v>
      </c>
      <c r="L523" s="97" t="s">
        <v>95</v>
      </c>
      <c r="M523" s="97" t="s">
        <v>92</v>
      </c>
      <c r="N523" s="97"/>
      <c r="O523" s="97"/>
      <c r="P523" s="97"/>
    </row>
    <row r="524">
      <c r="A524" s="92">
        <f t="shared" si="1"/>
        <v>5</v>
      </c>
      <c r="B524" s="92">
        <f t="shared" si="2"/>
        <v>5</v>
      </c>
      <c r="C524" s="93">
        <v>43230.0</v>
      </c>
      <c r="D524" s="94" t="s">
        <v>93</v>
      </c>
      <c r="E524" s="94" t="s">
        <v>15</v>
      </c>
      <c r="F524" s="94" t="s">
        <v>93</v>
      </c>
      <c r="G524" s="95">
        <v>125.0</v>
      </c>
      <c r="H524" s="99"/>
      <c r="I524" s="97" t="str">
        <f t="shared" si="3"/>
        <v>Обед (работа)</v>
      </c>
      <c r="J524" s="97" t="s">
        <v>93</v>
      </c>
      <c r="K524" s="97" t="s">
        <v>94</v>
      </c>
      <c r="L524" s="97" t="s">
        <v>95</v>
      </c>
      <c r="M524" s="97" t="s">
        <v>92</v>
      </c>
      <c r="N524" s="97"/>
      <c r="O524" s="97"/>
      <c r="P524" s="97"/>
    </row>
    <row r="525">
      <c r="A525" s="92">
        <f t="shared" si="1"/>
        <v>6</v>
      </c>
      <c r="B525" s="92">
        <f t="shared" si="2"/>
        <v>5</v>
      </c>
      <c r="C525" s="93">
        <v>43231.0</v>
      </c>
      <c r="D525" s="94" t="s">
        <v>83</v>
      </c>
      <c r="E525" s="94" t="s">
        <v>24</v>
      </c>
      <c r="F525" s="94" t="s">
        <v>83</v>
      </c>
      <c r="G525" s="95">
        <v>22.0</v>
      </c>
      <c r="H525" s="99"/>
      <c r="I525" s="97" t="str">
        <f t="shared" si="3"/>
        <v>Такси</v>
      </c>
      <c r="J525" s="97" t="s">
        <v>81</v>
      </c>
      <c r="K525" s="97" t="s">
        <v>82</v>
      </c>
      <c r="L525" s="97" t="s">
        <v>83</v>
      </c>
      <c r="M525" s="97" t="s">
        <v>84</v>
      </c>
      <c r="N525" s="97"/>
      <c r="O525" s="97"/>
      <c r="P525" s="97"/>
    </row>
    <row r="526">
      <c r="A526" s="92">
        <f t="shared" si="1"/>
        <v>6</v>
      </c>
      <c r="B526" s="92">
        <f t="shared" si="2"/>
        <v>5</v>
      </c>
      <c r="C526" s="93">
        <v>43231.0</v>
      </c>
      <c r="D526" s="94" t="s">
        <v>80</v>
      </c>
      <c r="E526" s="94" t="s">
        <v>24</v>
      </c>
      <c r="F526" s="94" t="s">
        <v>80</v>
      </c>
      <c r="G526" s="95">
        <v>150.0</v>
      </c>
      <c r="H526" s="99"/>
      <c r="I526" s="97" t="str">
        <f t="shared" si="3"/>
        <v>Такси</v>
      </c>
      <c r="J526" s="97" t="s">
        <v>81</v>
      </c>
      <c r="K526" s="97" t="s">
        <v>82</v>
      </c>
      <c r="L526" s="97" t="s">
        <v>83</v>
      </c>
      <c r="M526" s="97" t="s">
        <v>84</v>
      </c>
      <c r="N526" s="97"/>
      <c r="O526" s="97"/>
      <c r="P526" s="97"/>
    </row>
    <row r="527">
      <c r="A527" s="92">
        <f t="shared" si="1"/>
        <v>6</v>
      </c>
      <c r="B527" s="92">
        <f t="shared" si="2"/>
        <v>5</v>
      </c>
      <c r="C527" s="93">
        <v>43231.0</v>
      </c>
      <c r="D527" s="94" t="s">
        <v>91</v>
      </c>
      <c r="E527" s="94" t="s">
        <v>15</v>
      </c>
      <c r="F527" s="94" t="s">
        <v>117</v>
      </c>
      <c r="G527" s="95">
        <v>348.0</v>
      </c>
      <c r="H527" s="99"/>
      <c r="I527" s="97" t="str">
        <f t="shared" si="3"/>
        <v>Обед (работа)</v>
      </c>
      <c r="J527" s="97" t="s">
        <v>93</v>
      </c>
      <c r="K527" s="97" t="s">
        <v>94</v>
      </c>
      <c r="L527" s="97" t="s">
        <v>95</v>
      </c>
      <c r="M527" s="97" t="s">
        <v>92</v>
      </c>
      <c r="N527" s="97"/>
      <c r="O527" s="97"/>
      <c r="P527" s="97"/>
    </row>
    <row r="528">
      <c r="A528" s="92">
        <f t="shared" si="1"/>
        <v>6</v>
      </c>
      <c r="B528" s="92">
        <f t="shared" si="2"/>
        <v>5</v>
      </c>
      <c r="C528" s="93">
        <v>43231.0</v>
      </c>
      <c r="D528" s="94" t="s">
        <v>26</v>
      </c>
      <c r="E528" s="94" t="s">
        <v>26</v>
      </c>
      <c r="F528" s="100"/>
      <c r="G528" s="95">
        <v>878.0</v>
      </c>
      <c r="H528" s="99"/>
      <c r="I528" s="97" t="str">
        <f t="shared" si="3"/>
        <v/>
      </c>
      <c r="J528" s="97"/>
      <c r="K528" s="97"/>
      <c r="L528" s="97"/>
      <c r="M528" s="97"/>
      <c r="N528" s="97"/>
      <c r="O528" s="97"/>
      <c r="P528" s="97"/>
    </row>
    <row r="529">
      <c r="A529" s="92">
        <f t="shared" si="1"/>
        <v>7</v>
      </c>
      <c r="B529" s="92">
        <f t="shared" si="2"/>
        <v>5</v>
      </c>
      <c r="C529" s="93">
        <v>43232.0</v>
      </c>
      <c r="D529" s="94" t="s">
        <v>102</v>
      </c>
      <c r="E529" s="94" t="s">
        <v>21</v>
      </c>
      <c r="F529" s="94" t="s">
        <v>102</v>
      </c>
      <c r="G529" s="95">
        <v>1000.0</v>
      </c>
      <c r="H529" s="99"/>
      <c r="I529" s="97" t="str">
        <f t="shared" si="3"/>
        <v>Вино</v>
      </c>
      <c r="J529" s="97" t="s">
        <v>97</v>
      </c>
      <c r="K529" s="97" t="s">
        <v>98</v>
      </c>
      <c r="L529" s="97" t="s">
        <v>99</v>
      </c>
      <c r="M529" s="97" t="s">
        <v>100</v>
      </c>
      <c r="N529" s="97"/>
      <c r="O529" s="97"/>
      <c r="P529" s="97"/>
    </row>
    <row r="530">
      <c r="A530" s="92">
        <f t="shared" si="1"/>
        <v>7</v>
      </c>
      <c r="B530" s="92">
        <f t="shared" si="2"/>
        <v>5</v>
      </c>
      <c r="C530" s="93">
        <v>43232.0</v>
      </c>
      <c r="D530" s="94" t="s">
        <v>97</v>
      </c>
      <c r="E530" s="94" t="s">
        <v>21</v>
      </c>
      <c r="F530" s="94" t="s">
        <v>97</v>
      </c>
      <c r="G530" s="95">
        <v>136.0</v>
      </c>
      <c r="H530" s="99"/>
      <c r="I530" s="97" t="str">
        <f t="shared" si="3"/>
        <v>Вино</v>
      </c>
      <c r="J530" s="97" t="s">
        <v>97</v>
      </c>
      <c r="K530" s="97" t="s">
        <v>98</v>
      </c>
      <c r="L530" s="97" t="s">
        <v>99</v>
      </c>
      <c r="M530" s="97" t="s">
        <v>100</v>
      </c>
      <c r="N530" s="97"/>
      <c r="O530" s="97"/>
      <c r="P530" s="97"/>
    </row>
    <row r="531">
      <c r="A531" s="92">
        <f t="shared" si="1"/>
        <v>7</v>
      </c>
      <c r="B531" s="92">
        <f t="shared" si="2"/>
        <v>5</v>
      </c>
      <c r="C531" s="93">
        <v>43232.0</v>
      </c>
      <c r="D531" s="94" t="s">
        <v>245</v>
      </c>
      <c r="E531" s="94" t="s">
        <v>30</v>
      </c>
      <c r="F531" s="94" t="s">
        <v>89</v>
      </c>
      <c r="G531" s="95">
        <v>495.0</v>
      </c>
      <c r="H531" s="99"/>
      <c r="I531" s="97" t="str">
        <f t="shared" si="3"/>
        <v>Бар</v>
      </c>
      <c r="J531" s="97" t="s">
        <v>87</v>
      </c>
      <c r="K531" s="97" t="s">
        <v>88</v>
      </c>
      <c r="L531" s="97" t="s">
        <v>89</v>
      </c>
      <c r="M531" s="97" t="s">
        <v>90</v>
      </c>
      <c r="N531" s="97"/>
      <c r="O531" s="97"/>
      <c r="P531" s="97"/>
    </row>
    <row r="532">
      <c r="A532" s="92">
        <f t="shared" si="1"/>
        <v>1</v>
      </c>
      <c r="B532" s="92">
        <f t="shared" si="2"/>
        <v>5</v>
      </c>
      <c r="C532" s="93">
        <v>43233.0</v>
      </c>
      <c r="D532" s="94" t="s">
        <v>80</v>
      </c>
      <c r="E532" s="94" t="s">
        <v>24</v>
      </c>
      <c r="F532" s="94" t="s">
        <v>80</v>
      </c>
      <c r="G532" s="95">
        <v>1000.0</v>
      </c>
      <c r="H532" s="99"/>
      <c r="I532" s="97" t="str">
        <f t="shared" si="3"/>
        <v>Такси</v>
      </c>
      <c r="J532" s="97" t="s">
        <v>81</v>
      </c>
      <c r="K532" s="97" t="s">
        <v>82</v>
      </c>
      <c r="L532" s="97" t="s">
        <v>83</v>
      </c>
      <c r="M532" s="97" t="s">
        <v>84</v>
      </c>
      <c r="N532" s="97"/>
      <c r="O532" s="97"/>
      <c r="P532" s="97"/>
    </row>
    <row r="533">
      <c r="A533" s="92">
        <f t="shared" si="1"/>
        <v>1</v>
      </c>
      <c r="B533" s="92">
        <f t="shared" si="2"/>
        <v>5</v>
      </c>
      <c r="C533" s="93">
        <v>43233.0</v>
      </c>
      <c r="D533" s="94" t="s">
        <v>102</v>
      </c>
      <c r="E533" s="94" t="s">
        <v>21</v>
      </c>
      <c r="F533" s="94" t="s">
        <v>102</v>
      </c>
      <c r="G533" s="95">
        <v>527.0</v>
      </c>
      <c r="H533" s="99"/>
      <c r="I533" s="97" t="str">
        <f t="shared" si="3"/>
        <v>Вино</v>
      </c>
      <c r="J533" s="97" t="s">
        <v>97</v>
      </c>
      <c r="K533" s="97" t="s">
        <v>98</v>
      </c>
      <c r="L533" s="97" t="s">
        <v>99</v>
      </c>
      <c r="M533" s="97" t="s">
        <v>100</v>
      </c>
      <c r="N533" s="97"/>
      <c r="O533" s="97"/>
      <c r="P533" s="97"/>
    </row>
    <row r="534">
      <c r="A534" s="92">
        <f t="shared" si="1"/>
        <v>2</v>
      </c>
      <c r="B534" s="92">
        <f t="shared" si="2"/>
        <v>5</v>
      </c>
      <c r="C534" s="93">
        <v>43234.0</v>
      </c>
      <c r="D534" s="94" t="s">
        <v>241</v>
      </c>
      <c r="E534" s="94" t="s">
        <v>15</v>
      </c>
      <c r="F534" s="94" t="s">
        <v>93</v>
      </c>
      <c r="G534" s="95">
        <v>198.0</v>
      </c>
      <c r="H534" s="99"/>
      <c r="I534" s="97" t="str">
        <f t="shared" si="3"/>
        <v>Обед (работа)</v>
      </c>
      <c r="J534" s="97" t="s">
        <v>93</v>
      </c>
      <c r="K534" s="97" t="s">
        <v>94</v>
      </c>
      <c r="L534" s="97" t="s">
        <v>95</v>
      </c>
      <c r="M534" s="97" t="s">
        <v>92</v>
      </c>
      <c r="N534" s="97"/>
      <c r="O534" s="97"/>
      <c r="P534" s="97"/>
    </row>
    <row r="535">
      <c r="A535" s="92">
        <f t="shared" si="1"/>
        <v>2</v>
      </c>
      <c r="B535" s="92">
        <f t="shared" si="2"/>
        <v>5</v>
      </c>
      <c r="C535" s="93">
        <v>43234.0</v>
      </c>
      <c r="D535" s="94" t="s">
        <v>91</v>
      </c>
      <c r="E535" s="94" t="s">
        <v>15</v>
      </c>
      <c r="F535" s="94" t="s">
        <v>117</v>
      </c>
      <c r="G535" s="95">
        <v>355.0</v>
      </c>
      <c r="H535" s="99"/>
      <c r="I535" s="97" t="str">
        <f t="shared" si="3"/>
        <v>Обед (работа)</v>
      </c>
      <c r="J535" s="97" t="s">
        <v>93</v>
      </c>
      <c r="K535" s="97" t="s">
        <v>94</v>
      </c>
      <c r="L535" s="97" t="s">
        <v>95</v>
      </c>
      <c r="M535" s="97" t="s">
        <v>92</v>
      </c>
      <c r="N535" s="97"/>
      <c r="O535" s="97"/>
      <c r="P535" s="97"/>
    </row>
    <row r="536">
      <c r="A536" s="92">
        <f t="shared" si="1"/>
        <v>2</v>
      </c>
      <c r="B536" s="92">
        <f t="shared" si="2"/>
        <v>5</v>
      </c>
      <c r="C536" s="93">
        <v>43234.0</v>
      </c>
      <c r="D536" s="94" t="s">
        <v>26</v>
      </c>
      <c r="E536" s="94" t="s">
        <v>26</v>
      </c>
      <c r="F536" s="100"/>
      <c r="G536" s="95">
        <v>1200.0</v>
      </c>
      <c r="H536" s="99"/>
      <c r="I536" s="97" t="str">
        <f t="shared" si="3"/>
        <v/>
      </c>
      <c r="J536" s="97"/>
      <c r="K536" s="97"/>
      <c r="L536" s="97"/>
      <c r="M536" s="97"/>
      <c r="N536" s="97"/>
      <c r="O536" s="97"/>
      <c r="P536" s="97"/>
    </row>
    <row r="537">
      <c r="A537" s="92">
        <f t="shared" si="1"/>
        <v>2</v>
      </c>
      <c r="B537" s="92">
        <f t="shared" si="2"/>
        <v>5</v>
      </c>
      <c r="C537" s="93">
        <v>43234.0</v>
      </c>
      <c r="D537" s="94" t="s">
        <v>97</v>
      </c>
      <c r="E537" s="94" t="s">
        <v>21</v>
      </c>
      <c r="F537" s="94" t="s">
        <v>97</v>
      </c>
      <c r="G537" s="95">
        <v>240.0</v>
      </c>
      <c r="H537" s="99"/>
      <c r="I537" s="97" t="str">
        <f t="shared" si="3"/>
        <v>Вино</v>
      </c>
      <c r="J537" s="97" t="s">
        <v>97</v>
      </c>
      <c r="K537" s="97" t="s">
        <v>98</v>
      </c>
      <c r="L537" s="97" t="s">
        <v>99</v>
      </c>
      <c r="M537" s="97" t="s">
        <v>100</v>
      </c>
      <c r="N537" s="97"/>
      <c r="O537" s="97"/>
      <c r="P537" s="97"/>
    </row>
    <row r="538">
      <c r="A538" s="92">
        <f t="shared" si="1"/>
        <v>3</v>
      </c>
      <c r="B538" s="92">
        <f t="shared" si="2"/>
        <v>5</v>
      </c>
      <c r="C538" s="93">
        <v>43235.0</v>
      </c>
      <c r="D538" s="94" t="s">
        <v>80</v>
      </c>
      <c r="E538" s="94" t="s">
        <v>24</v>
      </c>
      <c r="F538" s="94" t="s">
        <v>80</v>
      </c>
      <c r="G538" s="95">
        <v>129.0</v>
      </c>
      <c r="H538" s="99"/>
      <c r="I538" s="97" t="str">
        <f t="shared" si="3"/>
        <v>Такси</v>
      </c>
      <c r="J538" s="97" t="s">
        <v>81</v>
      </c>
      <c r="K538" s="97" t="s">
        <v>82</v>
      </c>
      <c r="L538" s="97" t="s">
        <v>83</v>
      </c>
      <c r="M538" s="97" t="s">
        <v>84</v>
      </c>
      <c r="N538" s="97"/>
      <c r="O538" s="97"/>
      <c r="P538" s="97"/>
    </row>
    <row r="539">
      <c r="A539" s="92">
        <f t="shared" si="1"/>
        <v>3</v>
      </c>
      <c r="B539" s="92">
        <f t="shared" si="2"/>
        <v>5</v>
      </c>
      <c r="C539" s="93">
        <v>43235.0</v>
      </c>
      <c r="D539" s="94" t="s">
        <v>91</v>
      </c>
      <c r="E539" s="94" t="s">
        <v>15</v>
      </c>
      <c r="F539" s="94" t="s">
        <v>117</v>
      </c>
      <c r="G539" s="95">
        <v>550.0</v>
      </c>
      <c r="H539" s="99"/>
      <c r="I539" s="97" t="str">
        <f t="shared" si="3"/>
        <v>Обед (работа)</v>
      </c>
      <c r="J539" s="97" t="s">
        <v>93</v>
      </c>
      <c r="K539" s="97" t="s">
        <v>94</v>
      </c>
      <c r="L539" s="97" t="s">
        <v>95</v>
      </c>
      <c r="M539" s="97" t="s">
        <v>92</v>
      </c>
      <c r="N539" s="97"/>
      <c r="O539" s="97"/>
      <c r="P539" s="97"/>
    </row>
    <row r="540">
      <c r="A540" s="92">
        <f t="shared" si="1"/>
        <v>3</v>
      </c>
      <c r="B540" s="92">
        <f t="shared" si="2"/>
        <v>5</v>
      </c>
      <c r="C540" s="93">
        <v>43235.0</v>
      </c>
      <c r="D540" s="94" t="s">
        <v>26</v>
      </c>
      <c r="E540" s="94" t="s">
        <v>26</v>
      </c>
      <c r="F540" s="100"/>
      <c r="G540" s="95">
        <v>494.0</v>
      </c>
      <c r="H540" s="99"/>
      <c r="I540" s="97" t="str">
        <f t="shared" si="3"/>
        <v/>
      </c>
      <c r="J540" s="97"/>
      <c r="K540" s="97"/>
      <c r="L540" s="97"/>
      <c r="M540" s="97"/>
      <c r="N540" s="97"/>
      <c r="O540" s="97"/>
      <c r="P540" s="97"/>
    </row>
    <row r="541">
      <c r="A541" s="92">
        <f t="shared" si="1"/>
        <v>4</v>
      </c>
      <c r="B541" s="92">
        <f t="shared" si="2"/>
        <v>5</v>
      </c>
      <c r="C541" s="93">
        <v>43236.0</v>
      </c>
      <c r="D541" s="94" t="s">
        <v>80</v>
      </c>
      <c r="E541" s="94" t="s">
        <v>24</v>
      </c>
      <c r="F541" s="94" t="s">
        <v>80</v>
      </c>
      <c r="G541" s="95">
        <v>131.0</v>
      </c>
      <c r="H541" s="99"/>
      <c r="I541" s="97" t="str">
        <f t="shared" si="3"/>
        <v>Такси</v>
      </c>
      <c r="J541" s="97" t="s">
        <v>81</v>
      </c>
      <c r="K541" s="97" t="s">
        <v>82</v>
      </c>
      <c r="L541" s="97" t="s">
        <v>83</v>
      </c>
      <c r="M541" s="97" t="s">
        <v>84</v>
      </c>
      <c r="N541" s="97"/>
      <c r="O541" s="97"/>
      <c r="P541" s="97"/>
    </row>
    <row r="542">
      <c r="A542" s="92">
        <f t="shared" si="1"/>
        <v>4</v>
      </c>
      <c r="B542" s="92">
        <f t="shared" si="2"/>
        <v>5</v>
      </c>
      <c r="C542" s="93">
        <v>43236.0</v>
      </c>
      <c r="D542" s="94" t="s">
        <v>91</v>
      </c>
      <c r="E542" s="94" t="s">
        <v>15</v>
      </c>
      <c r="F542" s="94" t="s">
        <v>117</v>
      </c>
      <c r="G542" s="95">
        <v>353.0</v>
      </c>
      <c r="H542" s="99"/>
      <c r="I542" s="97" t="str">
        <f t="shared" si="3"/>
        <v>Обед (работа)</v>
      </c>
      <c r="J542" s="97" t="s">
        <v>93</v>
      </c>
      <c r="K542" s="97" t="s">
        <v>94</v>
      </c>
      <c r="L542" s="97" t="s">
        <v>95</v>
      </c>
      <c r="M542" s="97" t="s">
        <v>92</v>
      </c>
      <c r="N542" s="97"/>
      <c r="O542" s="97"/>
      <c r="P542" s="97"/>
    </row>
    <row r="543">
      <c r="A543" s="92">
        <f t="shared" si="1"/>
        <v>4</v>
      </c>
      <c r="B543" s="92">
        <f t="shared" si="2"/>
        <v>5</v>
      </c>
      <c r="C543" s="93">
        <v>43236.0</v>
      </c>
      <c r="D543" s="94" t="s">
        <v>112</v>
      </c>
      <c r="E543" s="94" t="s">
        <v>15</v>
      </c>
      <c r="F543" s="94" t="s">
        <v>95</v>
      </c>
      <c r="G543" s="95">
        <v>134.0</v>
      </c>
      <c r="H543" s="99"/>
      <c r="I543" s="97" t="str">
        <f t="shared" si="3"/>
        <v>Обед (работа)</v>
      </c>
      <c r="J543" s="97" t="s">
        <v>93</v>
      </c>
      <c r="K543" s="97" t="s">
        <v>94</v>
      </c>
      <c r="L543" s="97" t="s">
        <v>95</v>
      </c>
      <c r="M543" s="97" t="s">
        <v>92</v>
      </c>
      <c r="N543" s="97"/>
      <c r="O543" s="97"/>
      <c r="P543" s="97"/>
    </row>
    <row r="544">
      <c r="A544" s="92">
        <f t="shared" si="1"/>
        <v>4</v>
      </c>
      <c r="B544" s="92">
        <f t="shared" si="2"/>
        <v>5</v>
      </c>
      <c r="C544" s="93">
        <v>43236.0</v>
      </c>
      <c r="D544" s="94" t="s">
        <v>102</v>
      </c>
      <c r="E544" s="94" t="s">
        <v>21</v>
      </c>
      <c r="F544" s="94" t="s">
        <v>102</v>
      </c>
      <c r="G544" s="95">
        <v>500.0</v>
      </c>
      <c r="H544" s="99"/>
      <c r="I544" s="97" t="str">
        <f t="shared" si="3"/>
        <v>Вино</v>
      </c>
      <c r="J544" s="97" t="s">
        <v>97</v>
      </c>
      <c r="K544" s="97" t="s">
        <v>98</v>
      </c>
      <c r="L544" s="97" t="s">
        <v>99</v>
      </c>
      <c r="M544" s="97" t="s">
        <v>100</v>
      </c>
      <c r="N544" s="97"/>
      <c r="O544" s="97"/>
      <c r="P544" s="97"/>
    </row>
    <row r="545">
      <c r="A545" s="92">
        <f t="shared" si="1"/>
        <v>4</v>
      </c>
      <c r="B545" s="92">
        <f t="shared" si="2"/>
        <v>5</v>
      </c>
      <c r="C545" s="93">
        <v>43236.0</v>
      </c>
      <c r="D545" s="94" t="s">
        <v>26</v>
      </c>
      <c r="E545" s="94" t="s">
        <v>26</v>
      </c>
      <c r="F545" s="100"/>
      <c r="G545" s="95">
        <v>465.0</v>
      </c>
      <c r="H545" s="99"/>
      <c r="I545" s="97" t="str">
        <f t="shared" si="3"/>
        <v/>
      </c>
      <c r="J545" s="97"/>
      <c r="K545" s="97"/>
      <c r="L545" s="97"/>
      <c r="M545" s="97"/>
      <c r="N545" s="97"/>
      <c r="O545" s="97"/>
      <c r="P545" s="97"/>
    </row>
    <row r="546">
      <c r="A546" s="92">
        <f t="shared" si="1"/>
        <v>5</v>
      </c>
      <c r="B546" s="92">
        <f t="shared" si="2"/>
        <v>5</v>
      </c>
      <c r="C546" s="93">
        <v>43237.0</v>
      </c>
      <c r="D546" s="94" t="s">
        <v>241</v>
      </c>
      <c r="E546" s="94" t="s">
        <v>15</v>
      </c>
      <c r="F546" s="94" t="s">
        <v>117</v>
      </c>
      <c r="G546" s="95">
        <v>261.0</v>
      </c>
      <c r="H546" s="99"/>
      <c r="I546" s="97" t="str">
        <f t="shared" si="3"/>
        <v>Обед (работа)</v>
      </c>
      <c r="J546" s="97" t="s">
        <v>93</v>
      </c>
      <c r="K546" s="97" t="s">
        <v>94</v>
      </c>
      <c r="L546" s="97" t="s">
        <v>95</v>
      </c>
      <c r="M546" s="97" t="s">
        <v>92</v>
      </c>
      <c r="N546" s="97"/>
      <c r="O546" s="97"/>
      <c r="P546" s="97"/>
    </row>
    <row r="547">
      <c r="A547" s="92">
        <f t="shared" si="1"/>
        <v>5</v>
      </c>
      <c r="B547" s="92">
        <f t="shared" si="2"/>
        <v>5</v>
      </c>
      <c r="C547" s="93">
        <v>43237.0</v>
      </c>
      <c r="D547" s="94" t="s">
        <v>91</v>
      </c>
      <c r="E547" s="94" t="s">
        <v>15</v>
      </c>
      <c r="F547" s="94" t="s">
        <v>117</v>
      </c>
      <c r="G547" s="95">
        <v>350.0</v>
      </c>
      <c r="H547" s="99"/>
      <c r="I547" s="97" t="str">
        <f t="shared" si="3"/>
        <v>Обед (работа)</v>
      </c>
      <c r="J547" s="97" t="s">
        <v>93</v>
      </c>
      <c r="K547" s="97" t="s">
        <v>94</v>
      </c>
      <c r="L547" s="97" t="s">
        <v>95</v>
      </c>
      <c r="M547" s="97" t="s">
        <v>92</v>
      </c>
      <c r="N547" s="97"/>
      <c r="O547" s="97"/>
      <c r="P547" s="97"/>
    </row>
    <row r="548">
      <c r="A548" s="92">
        <f t="shared" si="1"/>
        <v>5</v>
      </c>
      <c r="B548" s="92">
        <f t="shared" si="2"/>
        <v>5</v>
      </c>
      <c r="C548" s="93">
        <v>43237.0</v>
      </c>
      <c r="D548" s="94" t="s">
        <v>26</v>
      </c>
      <c r="E548" s="94" t="s">
        <v>26</v>
      </c>
      <c r="F548" s="100"/>
      <c r="G548" s="95">
        <v>129.0</v>
      </c>
      <c r="H548" s="99"/>
      <c r="I548" s="97" t="str">
        <f t="shared" si="3"/>
        <v/>
      </c>
      <c r="J548" s="97"/>
      <c r="K548" s="97"/>
      <c r="L548" s="97"/>
      <c r="M548" s="97"/>
      <c r="N548" s="97"/>
      <c r="O548" s="97"/>
      <c r="P548" s="97"/>
    </row>
    <row r="549">
      <c r="A549" s="92">
        <f t="shared" si="1"/>
        <v>6</v>
      </c>
      <c r="B549" s="92">
        <f t="shared" si="2"/>
        <v>5</v>
      </c>
      <c r="C549" s="93">
        <v>43238.0</v>
      </c>
      <c r="D549" s="94" t="s">
        <v>80</v>
      </c>
      <c r="E549" s="94" t="s">
        <v>24</v>
      </c>
      <c r="F549" s="94" t="s">
        <v>80</v>
      </c>
      <c r="G549" s="95">
        <v>118.0</v>
      </c>
      <c r="H549" s="99"/>
      <c r="I549" s="97" t="str">
        <f t="shared" si="3"/>
        <v>Такси</v>
      </c>
      <c r="J549" s="97" t="s">
        <v>81</v>
      </c>
      <c r="K549" s="97" t="s">
        <v>82</v>
      </c>
      <c r="L549" s="97" t="s">
        <v>83</v>
      </c>
      <c r="M549" s="97" t="s">
        <v>84</v>
      </c>
      <c r="N549" s="97"/>
      <c r="O549" s="97"/>
      <c r="P549" s="97"/>
    </row>
    <row r="550">
      <c r="A550" s="92">
        <f t="shared" si="1"/>
        <v>6</v>
      </c>
      <c r="B550" s="92">
        <f t="shared" si="2"/>
        <v>5</v>
      </c>
      <c r="C550" s="93">
        <v>43238.0</v>
      </c>
      <c r="D550" s="94" t="s">
        <v>91</v>
      </c>
      <c r="E550" s="94" t="s">
        <v>15</v>
      </c>
      <c r="F550" s="94" t="s">
        <v>117</v>
      </c>
      <c r="G550" s="95">
        <v>560.0</v>
      </c>
      <c r="H550" s="99"/>
      <c r="I550" s="97" t="str">
        <f t="shared" si="3"/>
        <v>Обед (работа)</v>
      </c>
      <c r="J550" s="97" t="s">
        <v>93</v>
      </c>
      <c r="K550" s="97" t="s">
        <v>94</v>
      </c>
      <c r="L550" s="97" t="s">
        <v>95</v>
      </c>
      <c r="M550" s="97" t="s">
        <v>92</v>
      </c>
      <c r="N550" s="97"/>
      <c r="O550" s="97"/>
      <c r="P550" s="97"/>
    </row>
    <row r="551">
      <c r="A551" s="92">
        <f t="shared" si="1"/>
        <v>6</v>
      </c>
      <c r="B551" s="92">
        <f t="shared" si="2"/>
        <v>5</v>
      </c>
      <c r="C551" s="93">
        <v>43238.0</v>
      </c>
      <c r="D551" s="94" t="s">
        <v>93</v>
      </c>
      <c r="E551" s="94" t="s">
        <v>15</v>
      </c>
      <c r="F551" s="94" t="s">
        <v>93</v>
      </c>
      <c r="G551" s="95">
        <v>240.0</v>
      </c>
      <c r="H551" s="99"/>
      <c r="I551" s="97" t="str">
        <f t="shared" si="3"/>
        <v>Обед (работа)</v>
      </c>
      <c r="J551" s="97" t="s">
        <v>93</v>
      </c>
      <c r="K551" s="97" t="s">
        <v>94</v>
      </c>
      <c r="L551" s="97" t="s">
        <v>95</v>
      </c>
      <c r="M551" s="97" t="s">
        <v>92</v>
      </c>
      <c r="N551" s="97"/>
      <c r="O551" s="97"/>
      <c r="P551" s="97"/>
    </row>
    <row r="552">
      <c r="A552" s="92">
        <f t="shared" si="1"/>
        <v>6</v>
      </c>
      <c r="B552" s="92">
        <f t="shared" si="2"/>
        <v>5</v>
      </c>
      <c r="C552" s="93">
        <v>43238.0</v>
      </c>
      <c r="D552" s="94" t="s">
        <v>102</v>
      </c>
      <c r="E552" s="94" t="s">
        <v>21</v>
      </c>
      <c r="F552" s="94" t="s">
        <v>102</v>
      </c>
      <c r="G552" s="95">
        <v>1600.0</v>
      </c>
      <c r="H552" s="99"/>
      <c r="I552" s="97" t="str">
        <f t="shared" si="3"/>
        <v>Вино</v>
      </c>
      <c r="J552" s="97" t="s">
        <v>97</v>
      </c>
      <c r="K552" s="97" t="s">
        <v>98</v>
      </c>
      <c r="L552" s="97" t="s">
        <v>99</v>
      </c>
      <c r="M552" s="97" t="s">
        <v>100</v>
      </c>
      <c r="N552" s="97"/>
      <c r="O552" s="97"/>
      <c r="P552" s="97"/>
    </row>
    <row r="553">
      <c r="A553" s="92">
        <f t="shared" si="1"/>
        <v>6</v>
      </c>
      <c r="B553" s="92">
        <f t="shared" si="2"/>
        <v>5</v>
      </c>
      <c r="C553" s="93">
        <v>43238.0</v>
      </c>
      <c r="D553" s="94" t="s">
        <v>246</v>
      </c>
      <c r="E553" s="94" t="s">
        <v>21</v>
      </c>
      <c r="F553" s="94" t="s">
        <v>46</v>
      </c>
      <c r="G553" s="95">
        <v>935.0</v>
      </c>
      <c r="H553" s="99"/>
      <c r="I553" s="97" t="str">
        <f t="shared" si="3"/>
        <v>Вино</v>
      </c>
      <c r="J553" s="97" t="s">
        <v>97</v>
      </c>
      <c r="K553" s="97" t="s">
        <v>98</v>
      </c>
      <c r="L553" s="97" t="s">
        <v>99</v>
      </c>
      <c r="M553" s="97" t="s">
        <v>100</v>
      </c>
      <c r="N553" s="97"/>
      <c r="O553" s="97"/>
      <c r="P553" s="97"/>
    </row>
    <row r="554">
      <c r="A554" s="92">
        <f t="shared" si="1"/>
        <v>6</v>
      </c>
      <c r="B554" s="92">
        <f t="shared" si="2"/>
        <v>5</v>
      </c>
      <c r="C554" s="93">
        <v>43238.0</v>
      </c>
      <c r="D554" s="94" t="s">
        <v>80</v>
      </c>
      <c r="E554" s="94" t="s">
        <v>24</v>
      </c>
      <c r="F554" s="94" t="s">
        <v>80</v>
      </c>
      <c r="G554" s="95">
        <v>133.0</v>
      </c>
      <c r="H554" s="99"/>
      <c r="I554" s="97" t="str">
        <f t="shared" si="3"/>
        <v>Такси</v>
      </c>
      <c r="J554" s="97" t="s">
        <v>81</v>
      </c>
      <c r="K554" s="97" t="s">
        <v>82</v>
      </c>
      <c r="L554" s="97" t="s">
        <v>83</v>
      </c>
      <c r="M554" s="97" t="s">
        <v>84</v>
      </c>
      <c r="N554" s="97"/>
      <c r="O554" s="97"/>
      <c r="P554" s="97"/>
    </row>
    <row r="555">
      <c r="A555" s="92">
        <f t="shared" si="1"/>
        <v>6</v>
      </c>
      <c r="B555" s="92">
        <f t="shared" si="2"/>
        <v>5</v>
      </c>
      <c r="C555" s="93">
        <v>43238.0</v>
      </c>
      <c r="D555" s="94" t="s">
        <v>26</v>
      </c>
      <c r="E555" s="94" t="s">
        <v>26</v>
      </c>
      <c r="F555" s="100"/>
      <c r="G555" s="95">
        <v>847.0</v>
      </c>
      <c r="H555" s="99"/>
      <c r="I555" s="97" t="str">
        <f t="shared" si="3"/>
        <v/>
      </c>
      <c r="J555" s="97"/>
      <c r="K555" s="97"/>
      <c r="L555" s="97"/>
      <c r="M555" s="97"/>
      <c r="N555" s="97"/>
      <c r="O555" s="97"/>
      <c r="P555" s="97"/>
    </row>
    <row r="556">
      <c r="A556" s="92">
        <f t="shared" si="1"/>
        <v>7</v>
      </c>
      <c r="B556" s="92">
        <f t="shared" si="2"/>
        <v>5</v>
      </c>
      <c r="C556" s="93">
        <v>43239.0</v>
      </c>
      <c r="D556" s="94" t="s">
        <v>80</v>
      </c>
      <c r="E556" s="94" t="s">
        <v>24</v>
      </c>
      <c r="F556" s="94" t="s">
        <v>80</v>
      </c>
      <c r="G556" s="95">
        <v>152.0</v>
      </c>
      <c r="H556" s="99"/>
      <c r="I556" s="97" t="str">
        <f t="shared" si="3"/>
        <v>Такси</v>
      </c>
      <c r="J556" s="97" t="s">
        <v>81</v>
      </c>
      <c r="K556" s="97" t="s">
        <v>82</v>
      </c>
      <c r="L556" s="97" t="s">
        <v>83</v>
      </c>
      <c r="M556" s="97" t="s">
        <v>84</v>
      </c>
      <c r="N556" s="97"/>
      <c r="O556" s="97"/>
      <c r="P556" s="97"/>
    </row>
    <row r="557">
      <c r="A557" s="92">
        <f t="shared" si="1"/>
        <v>7</v>
      </c>
      <c r="B557" s="92">
        <f t="shared" si="2"/>
        <v>5</v>
      </c>
      <c r="C557" s="93">
        <v>43239.0</v>
      </c>
      <c r="D557" s="94" t="s">
        <v>247</v>
      </c>
      <c r="E557" s="94" t="s">
        <v>15</v>
      </c>
      <c r="F557" s="94" t="s">
        <v>95</v>
      </c>
      <c r="G557" s="95">
        <v>260.0</v>
      </c>
      <c r="H557" s="99"/>
      <c r="I557" s="97" t="str">
        <f t="shared" si="3"/>
        <v>Обед (работа)</v>
      </c>
      <c r="J557" s="97" t="s">
        <v>93</v>
      </c>
      <c r="K557" s="97" t="s">
        <v>94</v>
      </c>
      <c r="L557" s="97" t="s">
        <v>95</v>
      </c>
      <c r="M557" s="97" t="s">
        <v>92</v>
      </c>
      <c r="N557" s="97"/>
      <c r="O557" s="97"/>
      <c r="P557" s="97"/>
    </row>
    <row r="558">
      <c r="A558" s="92">
        <f t="shared" si="1"/>
        <v>7</v>
      </c>
      <c r="B558" s="92">
        <f t="shared" si="2"/>
        <v>5</v>
      </c>
      <c r="C558" s="93">
        <v>43239.0</v>
      </c>
      <c r="D558" s="94" t="s">
        <v>216</v>
      </c>
      <c r="E558" s="94" t="s">
        <v>21</v>
      </c>
      <c r="F558" s="94" t="s">
        <v>100</v>
      </c>
      <c r="G558" s="95">
        <v>1600.0</v>
      </c>
      <c r="H558" s="99"/>
      <c r="I558" s="97" t="str">
        <f t="shared" si="3"/>
        <v>Вино</v>
      </c>
      <c r="J558" s="97" t="s">
        <v>97</v>
      </c>
      <c r="K558" s="97" t="s">
        <v>98</v>
      </c>
      <c r="L558" s="97" t="s">
        <v>99</v>
      </c>
      <c r="M558" s="97" t="s">
        <v>100</v>
      </c>
      <c r="N558" s="97"/>
      <c r="O558" s="97"/>
      <c r="P558" s="97"/>
    </row>
    <row r="559">
      <c r="A559" s="92">
        <f t="shared" si="1"/>
        <v>7</v>
      </c>
      <c r="B559" s="92">
        <f t="shared" si="2"/>
        <v>5</v>
      </c>
      <c r="C559" s="93">
        <v>43239.0</v>
      </c>
      <c r="D559" s="94" t="s">
        <v>102</v>
      </c>
      <c r="E559" s="94" t="s">
        <v>21</v>
      </c>
      <c r="F559" s="94" t="s">
        <v>102</v>
      </c>
      <c r="G559" s="95">
        <v>680.0</v>
      </c>
      <c r="H559" s="99"/>
      <c r="I559" s="97" t="str">
        <f t="shared" si="3"/>
        <v>Вино</v>
      </c>
      <c r="J559" s="97" t="s">
        <v>97</v>
      </c>
      <c r="K559" s="97" t="s">
        <v>98</v>
      </c>
      <c r="L559" s="97" t="s">
        <v>99</v>
      </c>
      <c r="M559" s="97" t="s">
        <v>100</v>
      </c>
      <c r="N559" s="97"/>
      <c r="O559" s="97"/>
      <c r="P559" s="97"/>
    </row>
    <row r="560">
      <c r="A560" s="92">
        <f t="shared" si="1"/>
        <v>1</v>
      </c>
      <c r="B560" s="92">
        <f t="shared" si="2"/>
        <v>5</v>
      </c>
      <c r="C560" s="93">
        <v>43240.0</v>
      </c>
      <c r="D560" s="94" t="s">
        <v>154</v>
      </c>
      <c r="E560" s="94" t="s">
        <v>37</v>
      </c>
      <c r="F560" s="100"/>
      <c r="G560" s="95">
        <v>324.0</v>
      </c>
      <c r="H560" s="99"/>
      <c r="I560" s="97" t="str">
        <f t="shared" si="3"/>
        <v/>
      </c>
      <c r="J560" s="97"/>
      <c r="K560" s="97"/>
      <c r="L560" s="97"/>
      <c r="M560" s="97"/>
      <c r="N560" s="97"/>
      <c r="O560" s="97"/>
      <c r="P560" s="97"/>
    </row>
    <row r="561">
      <c r="A561" s="92">
        <f t="shared" si="1"/>
        <v>1</v>
      </c>
      <c r="B561" s="92">
        <f t="shared" si="2"/>
        <v>5</v>
      </c>
      <c r="C561" s="93">
        <v>43240.0</v>
      </c>
      <c r="D561" s="94" t="s">
        <v>248</v>
      </c>
      <c r="E561" s="94" t="s">
        <v>18</v>
      </c>
      <c r="F561" s="94" t="s">
        <v>116</v>
      </c>
      <c r="G561" s="95">
        <v>2500.0</v>
      </c>
      <c r="H561" s="99"/>
      <c r="I561" s="97" t="str">
        <f t="shared" si="3"/>
        <v>Родственники</v>
      </c>
      <c r="J561" s="97" t="s">
        <v>116</v>
      </c>
      <c r="K561" s="97" t="s">
        <v>115</v>
      </c>
      <c r="L561" s="97"/>
      <c r="M561" s="97"/>
      <c r="N561" s="97"/>
      <c r="O561" s="97"/>
      <c r="P561" s="97"/>
    </row>
    <row r="562">
      <c r="A562" s="92">
        <f t="shared" si="1"/>
        <v>1</v>
      </c>
      <c r="B562" s="92">
        <f t="shared" si="2"/>
        <v>5</v>
      </c>
      <c r="C562" s="93">
        <v>43240.0</v>
      </c>
      <c r="D562" s="94" t="s">
        <v>97</v>
      </c>
      <c r="E562" s="94" t="s">
        <v>21</v>
      </c>
      <c r="F562" s="94" t="s">
        <v>97</v>
      </c>
      <c r="G562" s="95">
        <v>200.0</v>
      </c>
      <c r="H562" s="99"/>
      <c r="I562" s="97" t="str">
        <f t="shared" si="3"/>
        <v>Вино</v>
      </c>
      <c r="J562" s="97" t="s">
        <v>97</v>
      </c>
      <c r="K562" s="97" t="s">
        <v>98</v>
      </c>
      <c r="L562" s="97" t="s">
        <v>99</v>
      </c>
      <c r="M562" s="97" t="s">
        <v>100</v>
      </c>
      <c r="N562" s="97"/>
      <c r="O562" s="97"/>
      <c r="P562" s="97"/>
    </row>
    <row r="563">
      <c r="A563" s="92">
        <f t="shared" si="1"/>
        <v>1</v>
      </c>
      <c r="B563" s="92">
        <f t="shared" si="2"/>
        <v>5</v>
      </c>
      <c r="C563" s="93">
        <v>43240.0</v>
      </c>
      <c r="D563" s="94" t="s">
        <v>80</v>
      </c>
      <c r="E563" s="94" t="s">
        <v>24</v>
      </c>
      <c r="F563" s="94" t="s">
        <v>80</v>
      </c>
      <c r="G563" s="95">
        <v>158.0</v>
      </c>
      <c r="H563" s="99"/>
      <c r="I563" s="97" t="str">
        <f t="shared" si="3"/>
        <v>Такси</v>
      </c>
      <c r="J563" s="97" t="s">
        <v>81</v>
      </c>
      <c r="K563" s="97" t="s">
        <v>82</v>
      </c>
      <c r="L563" s="97" t="s">
        <v>83</v>
      </c>
      <c r="M563" s="97" t="s">
        <v>84</v>
      </c>
      <c r="N563" s="97"/>
      <c r="O563" s="97"/>
      <c r="P563" s="97"/>
    </row>
    <row r="564">
      <c r="A564" s="92">
        <f t="shared" si="1"/>
        <v>2</v>
      </c>
      <c r="B564" s="92">
        <f t="shared" si="2"/>
        <v>5</v>
      </c>
      <c r="C564" s="93">
        <v>43241.0</v>
      </c>
      <c r="D564" s="94" t="s">
        <v>83</v>
      </c>
      <c r="E564" s="94" t="s">
        <v>24</v>
      </c>
      <c r="F564" s="94" t="s">
        <v>83</v>
      </c>
      <c r="G564" s="95">
        <v>44.0</v>
      </c>
      <c r="H564" s="99"/>
      <c r="I564" s="97" t="str">
        <f t="shared" si="3"/>
        <v>Такси</v>
      </c>
      <c r="J564" s="97" t="s">
        <v>81</v>
      </c>
      <c r="K564" s="97" t="s">
        <v>82</v>
      </c>
      <c r="L564" s="97" t="s">
        <v>83</v>
      </c>
      <c r="M564" s="97" t="s">
        <v>84</v>
      </c>
      <c r="N564" s="97"/>
      <c r="O564" s="97"/>
      <c r="P564" s="97"/>
    </row>
    <row r="565">
      <c r="A565" s="92">
        <f t="shared" si="1"/>
        <v>2</v>
      </c>
      <c r="B565" s="92">
        <f t="shared" si="2"/>
        <v>5</v>
      </c>
      <c r="C565" s="93">
        <v>43241.0</v>
      </c>
      <c r="D565" s="94" t="s">
        <v>80</v>
      </c>
      <c r="E565" s="94" t="s">
        <v>24</v>
      </c>
      <c r="F565" s="94" t="s">
        <v>80</v>
      </c>
      <c r="G565" s="95">
        <v>182.0</v>
      </c>
      <c r="H565" s="99"/>
      <c r="I565" s="97" t="str">
        <f t="shared" si="3"/>
        <v>Такси</v>
      </c>
      <c r="J565" s="97" t="s">
        <v>81</v>
      </c>
      <c r="K565" s="97" t="s">
        <v>82</v>
      </c>
      <c r="L565" s="97" t="s">
        <v>83</v>
      </c>
      <c r="M565" s="97" t="s">
        <v>84</v>
      </c>
      <c r="N565" s="97"/>
      <c r="O565" s="97"/>
      <c r="P565" s="97"/>
    </row>
    <row r="566">
      <c r="A566" s="92">
        <f t="shared" si="1"/>
        <v>2</v>
      </c>
      <c r="B566" s="92">
        <f t="shared" si="2"/>
        <v>5</v>
      </c>
      <c r="C566" s="93">
        <v>43241.0</v>
      </c>
      <c r="D566" s="94" t="s">
        <v>91</v>
      </c>
      <c r="E566" s="94" t="s">
        <v>15</v>
      </c>
      <c r="F566" s="94" t="s">
        <v>117</v>
      </c>
      <c r="G566" s="95">
        <v>486.0</v>
      </c>
      <c r="H566" s="99"/>
      <c r="I566" s="97" t="str">
        <f t="shared" si="3"/>
        <v>Обед (работа)</v>
      </c>
      <c r="J566" s="97" t="s">
        <v>93</v>
      </c>
      <c r="K566" s="97" t="s">
        <v>94</v>
      </c>
      <c r="L566" s="97" t="s">
        <v>95</v>
      </c>
      <c r="M566" s="97" t="s">
        <v>92</v>
      </c>
      <c r="N566" s="97"/>
      <c r="O566" s="97"/>
      <c r="P566" s="97"/>
    </row>
    <row r="567">
      <c r="A567" s="92">
        <f t="shared" si="1"/>
        <v>3</v>
      </c>
      <c r="B567" s="92">
        <f t="shared" si="2"/>
        <v>5</v>
      </c>
      <c r="C567" s="93">
        <v>43242.0</v>
      </c>
      <c r="D567" s="94" t="s">
        <v>80</v>
      </c>
      <c r="E567" s="94" t="s">
        <v>24</v>
      </c>
      <c r="F567" s="94" t="s">
        <v>80</v>
      </c>
      <c r="G567" s="95">
        <v>119.0</v>
      </c>
      <c r="H567" s="99"/>
      <c r="I567" s="97" t="str">
        <f t="shared" si="3"/>
        <v>Такси</v>
      </c>
      <c r="J567" s="97" t="s">
        <v>81</v>
      </c>
      <c r="K567" s="97" t="s">
        <v>82</v>
      </c>
      <c r="L567" s="97" t="s">
        <v>83</v>
      </c>
      <c r="M567" s="97" t="s">
        <v>84</v>
      </c>
      <c r="N567" s="97"/>
      <c r="O567" s="97"/>
      <c r="P567" s="97"/>
    </row>
    <row r="568">
      <c r="A568" s="92">
        <f t="shared" si="1"/>
        <v>3</v>
      </c>
      <c r="B568" s="92">
        <f t="shared" si="2"/>
        <v>5</v>
      </c>
      <c r="C568" s="93">
        <v>43242.0</v>
      </c>
      <c r="D568" s="94" t="s">
        <v>83</v>
      </c>
      <c r="E568" s="94" t="s">
        <v>24</v>
      </c>
      <c r="F568" s="94" t="s">
        <v>83</v>
      </c>
      <c r="G568" s="95">
        <v>22.0</v>
      </c>
      <c r="H568" s="99"/>
      <c r="I568" s="97" t="str">
        <f t="shared" si="3"/>
        <v>Такси</v>
      </c>
      <c r="J568" s="97" t="s">
        <v>81</v>
      </c>
      <c r="K568" s="97" t="s">
        <v>82</v>
      </c>
      <c r="L568" s="97" t="s">
        <v>83</v>
      </c>
      <c r="M568" s="97" t="s">
        <v>84</v>
      </c>
      <c r="N568" s="97"/>
      <c r="O568" s="97"/>
      <c r="P568" s="97"/>
    </row>
    <row r="569">
      <c r="A569" s="92">
        <f t="shared" si="1"/>
        <v>3</v>
      </c>
      <c r="B569" s="92">
        <f t="shared" si="2"/>
        <v>5</v>
      </c>
      <c r="C569" s="93">
        <v>43242.0</v>
      </c>
      <c r="D569" s="94" t="s">
        <v>241</v>
      </c>
      <c r="E569" s="94" t="s">
        <v>15</v>
      </c>
      <c r="F569" s="94" t="s">
        <v>117</v>
      </c>
      <c r="G569" s="95">
        <v>142.0</v>
      </c>
      <c r="H569" s="99"/>
      <c r="I569" s="97" t="str">
        <f t="shared" si="3"/>
        <v>Обед (работа)</v>
      </c>
      <c r="J569" s="97" t="s">
        <v>93</v>
      </c>
      <c r="K569" s="97" t="s">
        <v>94</v>
      </c>
      <c r="L569" s="97" t="s">
        <v>95</v>
      </c>
      <c r="M569" s="97" t="s">
        <v>92</v>
      </c>
      <c r="N569" s="97"/>
      <c r="O569" s="97"/>
      <c r="P569" s="97"/>
    </row>
    <row r="570">
      <c r="A570" s="92">
        <f t="shared" si="1"/>
        <v>3</v>
      </c>
      <c r="B570" s="92">
        <f t="shared" si="2"/>
        <v>5</v>
      </c>
      <c r="C570" s="93">
        <v>43242.0</v>
      </c>
      <c r="D570" s="94" t="s">
        <v>91</v>
      </c>
      <c r="E570" s="94" t="s">
        <v>15</v>
      </c>
      <c r="F570" s="94" t="s">
        <v>117</v>
      </c>
      <c r="G570" s="95">
        <v>350.0</v>
      </c>
      <c r="H570" s="99"/>
      <c r="I570" s="97" t="str">
        <f t="shared" si="3"/>
        <v>Обед (работа)</v>
      </c>
      <c r="J570" s="97" t="s">
        <v>93</v>
      </c>
      <c r="K570" s="97" t="s">
        <v>94</v>
      </c>
      <c r="L570" s="97" t="s">
        <v>95</v>
      </c>
      <c r="M570" s="97" t="s">
        <v>92</v>
      </c>
      <c r="N570" s="97"/>
      <c r="O570" s="97"/>
      <c r="P570" s="97"/>
    </row>
    <row r="571">
      <c r="A571" s="92">
        <f t="shared" si="1"/>
        <v>3</v>
      </c>
      <c r="B571" s="92">
        <f t="shared" si="2"/>
        <v>5</v>
      </c>
      <c r="C571" s="93">
        <v>43242.0</v>
      </c>
      <c r="D571" s="94" t="s">
        <v>83</v>
      </c>
      <c r="E571" s="94" t="s">
        <v>24</v>
      </c>
      <c r="F571" s="94" t="s">
        <v>83</v>
      </c>
      <c r="G571" s="95">
        <v>1200.0</v>
      </c>
      <c r="H571" s="99"/>
      <c r="I571" s="97" t="str">
        <f t="shared" si="3"/>
        <v>Такси</v>
      </c>
      <c r="J571" s="97" t="s">
        <v>81</v>
      </c>
      <c r="K571" s="97" t="s">
        <v>82</v>
      </c>
      <c r="L571" s="97" t="s">
        <v>83</v>
      </c>
      <c r="M571" s="97" t="s">
        <v>84</v>
      </c>
      <c r="N571" s="97"/>
      <c r="O571" s="97"/>
      <c r="P571" s="97"/>
    </row>
    <row r="572">
      <c r="A572" s="92">
        <f t="shared" si="1"/>
        <v>3</v>
      </c>
      <c r="B572" s="92">
        <f t="shared" si="2"/>
        <v>5</v>
      </c>
      <c r="C572" s="93">
        <v>43242.0</v>
      </c>
      <c r="D572" s="94" t="s">
        <v>242</v>
      </c>
      <c r="E572" s="94" t="s">
        <v>15</v>
      </c>
      <c r="F572" s="94" t="s">
        <v>93</v>
      </c>
      <c r="G572" s="95">
        <v>350.0</v>
      </c>
      <c r="H572" s="99"/>
      <c r="I572" s="97" t="str">
        <f t="shared" si="3"/>
        <v>Обед (работа)</v>
      </c>
      <c r="J572" s="97" t="s">
        <v>93</v>
      </c>
      <c r="K572" s="97" t="s">
        <v>94</v>
      </c>
      <c r="L572" s="97" t="s">
        <v>95</v>
      </c>
      <c r="M572" s="97" t="s">
        <v>92</v>
      </c>
      <c r="N572" s="97"/>
      <c r="O572" s="97"/>
      <c r="P572" s="97"/>
    </row>
    <row r="573">
      <c r="A573" s="92">
        <f t="shared" si="1"/>
        <v>3</v>
      </c>
      <c r="B573" s="92">
        <f t="shared" si="2"/>
        <v>5</v>
      </c>
      <c r="C573" s="93">
        <v>43242.0</v>
      </c>
      <c r="D573" s="94" t="s">
        <v>26</v>
      </c>
      <c r="E573" s="94" t="s">
        <v>26</v>
      </c>
      <c r="F573" s="100"/>
      <c r="G573" s="95">
        <v>200.0</v>
      </c>
      <c r="H573" s="99"/>
      <c r="I573" s="97" t="str">
        <f t="shared" si="3"/>
        <v/>
      </c>
      <c r="J573" s="97"/>
      <c r="K573" s="97"/>
      <c r="L573" s="97"/>
      <c r="M573" s="97"/>
      <c r="N573" s="97"/>
      <c r="O573" s="97"/>
      <c r="P573" s="97"/>
    </row>
    <row r="574">
      <c r="A574" s="92">
        <f t="shared" si="1"/>
        <v>4</v>
      </c>
      <c r="B574" s="92">
        <f t="shared" si="2"/>
        <v>5</v>
      </c>
      <c r="C574" s="93">
        <v>43243.0</v>
      </c>
      <c r="D574" s="94" t="s">
        <v>80</v>
      </c>
      <c r="E574" s="94" t="s">
        <v>24</v>
      </c>
      <c r="F574" s="94" t="s">
        <v>80</v>
      </c>
      <c r="G574" s="95">
        <v>130.0</v>
      </c>
      <c r="H574" s="99"/>
      <c r="I574" s="97" t="str">
        <f t="shared" si="3"/>
        <v>Такси</v>
      </c>
      <c r="J574" s="97" t="s">
        <v>81</v>
      </c>
      <c r="K574" s="97" t="s">
        <v>82</v>
      </c>
      <c r="L574" s="97" t="s">
        <v>83</v>
      </c>
      <c r="M574" s="97" t="s">
        <v>84</v>
      </c>
      <c r="N574" s="97"/>
      <c r="O574" s="97"/>
      <c r="P574" s="97"/>
    </row>
    <row r="575">
      <c r="A575" s="92">
        <f t="shared" si="1"/>
        <v>4</v>
      </c>
      <c r="B575" s="92">
        <f t="shared" si="2"/>
        <v>5</v>
      </c>
      <c r="C575" s="93">
        <v>43243.0</v>
      </c>
      <c r="D575" s="94" t="s">
        <v>83</v>
      </c>
      <c r="E575" s="94" t="s">
        <v>24</v>
      </c>
      <c r="F575" s="94" t="s">
        <v>83</v>
      </c>
      <c r="G575" s="95">
        <v>22.0</v>
      </c>
      <c r="H575" s="99"/>
      <c r="I575" s="97" t="str">
        <f t="shared" si="3"/>
        <v>Такси</v>
      </c>
      <c r="J575" s="97" t="s">
        <v>81</v>
      </c>
      <c r="K575" s="97" t="s">
        <v>82</v>
      </c>
      <c r="L575" s="97" t="s">
        <v>83</v>
      </c>
      <c r="M575" s="97" t="s">
        <v>84</v>
      </c>
      <c r="N575" s="97"/>
      <c r="O575" s="97"/>
      <c r="P575" s="97"/>
    </row>
    <row r="576">
      <c r="A576" s="92">
        <f t="shared" si="1"/>
        <v>4</v>
      </c>
      <c r="B576" s="92">
        <f t="shared" si="2"/>
        <v>5</v>
      </c>
      <c r="C576" s="93">
        <v>43243.0</v>
      </c>
      <c r="D576" s="94" t="s">
        <v>91</v>
      </c>
      <c r="E576" s="94" t="s">
        <v>15</v>
      </c>
      <c r="F576" s="94" t="s">
        <v>117</v>
      </c>
      <c r="G576" s="95">
        <v>450.0</v>
      </c>
      <c r="H576" s="99"/>
      <c r="I576" s="97" t="str">
        <f t="shared" si="3"/>
        <v>Обед (работа)</v>
      </c>
      <c r="J576" s="97" t="s">
        <v>93</v>
      </c>
      <c r="K576" s="97" t="s">
        <v>94</v>
      </c>
      <c r="L576" s="97" t="s">
        <v>95</v>
      </c>
      <c r="M576" s="97" t="s">
        <v>92</v>
      </c>
      <c r="N576" s="97"/>
      <c r="O576" s="97"/>
      <c r="P576" s="97"/>
    </row>
    <row r="577">
      <c r="A577" s="92">
        <f t="shared" si="1"/>
        <v>4</v>
      </c>
      <c r="B577" s="92">
        <f t="shared" si="2"/>
        <v>5</v>
      </c>
      <c r="C577" s="93">
        <v>43243.0</v>
      </c>
      <c r="D577" s="94" t="s">
        <v>93</v>
      </c>
      <c r="E577" s="94" t="s">
        <v>15</v>
      </c>
      <c r="F577" s="94" t="s">
        <v>93</v>
      </c>
      <c r="G577" s="95">
        <v>100.0</v>
      </c>
      <c r="H577" s="99"/>
      <c r="I577" s="97" t="str">
        <f t="shared" si="3"/>
        <v>Обед (работа)</v>
      </c>
      <c r="J577" s="97" t="s">
        <v>93</v>
      </c>
      <c r="K577" s="97" t="s">
        <v>94</v>
      </c>
      <c r="L577" s="97" t="s">
        <v>95</v>
      </c>
      <c r="M577" s="97" t="s">
        <v>92</v>
      </c>
      <c r="N577" s="97"/>
      <c r="O577" s="97"/>
      <c r="P577" s="97"/>
    </row>
    <row r="578">
      <c r="A578" s="92">
        <f t="shared" si="1"/>
        <v>4</v>
      </c>
      <c r="B578" s="92">
        <f t="shared" si="2"/>
        <v>5</v>
      </c>
      <c r="C578" s="93">
        <v>43243.0</v>
      </c>
      <c r="D578" s="94" t="s">
        <v>18</v>
      </c>
      <c r="E578" s="94" t="s">
        <v>18</v>
      </c>
      <c r="F578" s="94" t="s">
        <v>115</v>
      </c>
      <c r="G578" s="95">
        <v>800.0</v>
      </c>
      <c r="H578" s="99"/>
      <c r="I578" s="97" t="str">
        <f t="shared" si="3"/>
        <v>Родственники</v>
      </c>
      <c r="J578" s="97" t="s">
        <v>116</v>
      </c>
      <c r="K578" s="97" t="s">
        <v>115</v>
      </c>
      <c r="L578" s="97"/>
      <c r="M578" s="97"/>
      <c r="N578" s="97"/>
      <c r="O578" s="97"/>
      <c r="P578" s="97"/>
    </row>
    <row r="579">
      <c r="A579" s="92">
        <f t="shared" si="1"/>
        <v>4</v>
      </c>
      <c r="B579" s="92">
        <f t="shared" si="2"/>
        <v>5</v>
      </c>
      <c r="C579" s="93">
        <v>43243.0</v>
      </c>
      <c r="D579" s="94" t="s">
        <v>26</v>
      </c>
      <c r="E579" s="94" t="s">
        <v>26</v>
      </c>
      <c r="F579" s="100"/>
      <c r="G579" s="95">
        <v>602.0</v>
      </c>
      <c r="H579" s="99"/>
      <c r="I579" s="97" t="str">
        <f t="shared" si="3"/>
        <v/>
      </c>
      <c r="J579" s="97"/>
      <c r="K579" s="97"/>
      <c r="L579" s="97"/>
      <c r="M579" s="97"/>
      <c r="N579" s="97"/>
      <c r="O579" s="97"/>
      <c r="P579" s="97"/>
    </row>
    <row r="580">
      <c r="A580" s="92">
        <f t="shared" si="1"/>
        <v>5</v>
      </c>
      <c r="B580" s="92">
        <f t="shared" si="2"/>
        <v>5</v>
      </c>
      <c r="C580" s="93">
        <v>43244.0</v>
      </c>
      <c r="D580" s="94" t="s">
        <v>80</v>
      </c>
      <c r="E580" s="94" t="s">
        <v>24</v>
      </c>
      <c r="F580" s="94" t="s">
        <v>80</v>
      </c>
      <c r="G580" s="95">
        <v>143.0</v>
      </c>
      <c r="H580" s="99"/>
      <c r="I580" s="97" t="str">
        <f t="shared" si="3"/>
        <v>Такси</v>
      </c>
      <c r="J580" s="97" t="s">
        <v>81</v>
      </c>
      <c r="K580" s="97" t="s">
        <v>82</v>
      </c>
      <c r="L580" s="97" t="s">
        <v>83</v>
      </c>
      <c r="M580" s="97" t="s">
        <v>84</v>
      </c>
      <c r="N580" s="97"/>
      <c r="O580" s="97"/>
      <c r="P580" s="97"/>
    </row>
    <row r="581">
      <c r="A581" s="92">
        <f t="shared" si="1"/>
        <v>5</v>
      </c>
      <c r="B581" s="92">
        <f t="shared" si="2"/>
        <v>5</v>
      </c>
      <c r="C581" s="93">
        <v>43244.0</v>
      </c>
      <c r="D581" s="94" t="s">
        <v>83</v>
      </c>
      <c r="E581" s="94" t="s">
        <v>24</v>
      </c>
      <c r="F581" s="94" t="s">
        <v>83</v>
      </c>
      <c r="G581" s="95">
        <v>44.0</v>
      </c>
      <c r="H581" s="99"/>
      <c r="I581" s="97" t="str">
        <f t="shared" si="3"/>
        <v>Такси</v>
      </c>
      <c r="J581" s="97" t="s">
        <v>81</v>
      </c>
      <c r="K581" s="97" t="s">
        <v>82</v>
      </c>
      <c r="L581" s="97" t="s">
        <v>83</v>
      </c>
      <c r="M581" s="97" t="s">
        <v>84</v>
      </c>
      <c r="N581" s="97"/>
      <c r="O581" s="97"/>
      <c r="P581" s="97"/>
    </row>
    <row r="582">
      <c r="A582" s="92">
        <f t="shared" si="1"/>
        <v>5</v>
      </c>
      <c r="B582" s="92">
        <f t="shared" si="2"/>
        <v>5</v>
      </c>
      <c r="C582" s="93">
        <v>43244.0</v>
      </c>
      <c r="D582" s="94" t="s">
        <v>91</v>
      </c>
      <c r="E582" s="94" t="s">
        <v>15</v>
      </c>
      <c r="F582" s="94" t="s">
        <v>117</v>
      </c>
      <c r="G582" s="95">
        <v>175.0</v>
      </c>
      <c r="H582" s="99"/>
      <c r="I582" s="97" t="str">
        <f t="shared" si="3"/>
        <v>Обед (работа)</v>
      </c>
      <c r="J582" s="97" t="s">
        <v>93</v>
      </c>
      <c r="K582" s="97" t="s">
        <v>94</v>
      </c>
      <c r="L582" s="97" t="s">
        <v>95</v>
      </c>
      <c r="M582" s="97" t="s">
        <v>92</v>
      </c>
      <c r="N582" s="97"/>
      <c r="O582" s="97"/>
      <c r="P582" s="97"/>
    </row>
    <row r="583">
      <c r="A583" s="92">
        <f t="shared" si="1"/>
        <v>5</v>
      </c>
      <c r="B583" s="92">
        <f t="shared" si="2"/>
        <v>5</v>
      </c>
      <c r="C583" s="93">
        <v>43244.0</v>
      </c>
      <c r="D583" s="94" t="s">
        <v>221</v>
      </c>
      <c r="E583" s="94" t="s">
        <v>48</v>
      </c>
      <c r="F583" s="100"/>
      <c r="G583" s="95">
        <v>199.0</v>
      </c>
      <c r="H583" s="99"/>
      <c r="I583" s="97" t="str">
        <f t="shared" si="3"/>
        <v/>
      </c>
      <c r="J583" s="97"/>
      <c r="K583" s="97"/>
      <c r="L583" s="97"/>
      <c r="M583" s="97"/>
      <c r="N583" s="97"/>
      <c r="O583" s="97"/>
      <c r="P583" s="97"/>
    </row>
    <row r="584">
      <c r="A584" s="92">
        <f t="shared" si="1"/>
        <v>5</v>
      </c>
      <c r="B584" s="92">
        <f t="shared" si="2"/>
        <v>5</v>
      </c>
      <c r="C584" s="93">
        <v>43244.0</v>
      </c>
      <c r="D584" s="94" t="s">
        <v>154</v>
      </c>
      <c r="E584" s="94" t="s">
        <v>37</v>
      </c>
      <c r="F584" s="100"/>
      <c r="G584" s="95">
        <v>194.0</v>
      </c>
      <c r="H584" s="99"/>
      <c r="I584" s="97" t="str">
        <f t="shared" si="3"/>
        <v/>
      </c>
      <c r="J584" s="97"/>
      <c r="K584" s="97"/>
      <c r="L584" s="97"/>
      <c r="M584" s="97"/>
      <c r="N584" s="97"/>
      <c r="O584" s="97"/>
      <c r="P584" s="97"/>
    </row>
    <row r="585">
      <c r="A585" s="92">
        <f t="shared" si="1"/>
        <v>5</v>
      </c>
      <c r="B585" s="92">
        <f t="shared" si="2"/>
        <v>5</v>
      </c>
      <c r="C585" s="93">
        <v>43244.0</v>
      </c>
      <c r="D585" s="94" t="s">
        <v>26</v>
      </c>
      <c r="E585" s="94" t="s">
        <v>26</v>
      </c>
      <c r="F585" s="100"/>
      <c r="G585" s="95">
        <v>488.0</v>
      </c>
      <c r="H585" s="99"/>
      <c r="I585" s="97" t="str">
        <f t="shared" si="3"/>
        <v/>
      </c>
      <c r="J585" s="97"/>
      <c r="K585" s="97"/>
      <c r="L585" s="97"/>
      <c r="M585" s="97"/>
      <c r="N585" s="97"/>
      <c r="O585" s="97"/>
      <c r="P585" s="97"/>
    </row>
    <row r="586">
      <c r="A586" s="92">
        <f t="shared" si="1"/>
        <v>6</v>
      </c>
      <c r="B586" s="92">
        <f t="shared" si="2"/>
        <v>5</v>
      </c>
      <c r="C586" s="93">
        <v>43245.0</v>
      </c>
      <c r="D586" s="94" t="s">
        <v>83</v>
      </c>
      <c r="E586" s="94" t="s">
        <v>24</v>
      </c>
      <c r="F586" s="94" t="s">
        <v>83</v>
      </c>
      <c r="G586" s="95">
        <v>44.0</v>
      </c>
      <c r="H586" s="99"/>
      <c r="I586" s="97" t="str">
        <f t="shared" si="3"/>
        <v>Такси</v>
      </c>
      <c r="J586" s="97" t="s">
        <v>81</v>
      </c>
      <c r="K586" s="97" t="s">
        <v>82</v>
      </c>
      <c r="L586" s="97" t="s">
        <v>83</v>
      </c>
      <c r="M586" s="97" t="s">
        <v>84</v>
      </c>
      <c r="N586" s="97"/>
      <c r="O586" s="97"/>
      <c r="P586" s="97"/>
    </row>
    <row r="587">
      <c r="A587" s="92">
        <f t="shared" si="1"/>
        <v>6</v>
      </c>
      <c r="B587" s="92">
        <f t="shared" si="2"/>
        <v>5</v>
      </c>
      <c r="C587" s="93">
        <v>43245.0</v>
      </c>
      <c r="D587" s="94" t="s">
        <v>241</v>
      </c>
      <c r="E587" s="94" t="s">
        <v>15</v>
      </c>
      <c r="F587" s="94" t="s">
        <v>117</v>
      </c>
      <c r="G587" s="95">
        <v>160.0</v>
      </c>
      <c r="H587" s="99"/>
      <c r="I587" s="97" t="str">
        <f t="shared" si="3"/>
        <v>Обед (работа)</v>
      </c>
      <c r="J587" s="97" t="s">
        <v>93</v>
      </c>
      <c r="K587" s="97" t="s">
        <v>94</v>
      </c>
      <c r="L587" s="97" t="s">
        <v>95</v>
      </c>
      <c r="M587" s="97" t="s">
        <v>92</v>
      </c>
      <c r="N587" s="97"/>
      <c r="O587" s="97"/>
      <c r="P587" s="97"/>
    </row>
    <row r="588">
      <c r="A588" s="92">
        <f t="shared" si="1"/>
        <v>6</v>
      </c>
      <c r="B588" s="92">
        <f t="shared" si="2"/>
        <v>5</v>
      </c>
      <c r="C588" s="93">
        <v>43245.0</v>
      </c>
      <c r="D588" s="94" t="s">
        <v>91</v>
      </c>
      <c r="E588" s="94" t="s">
        <v>15</v>
      </c>
      <c r="F588" s="94" t="s">
        <v>117</v>
      </c>
      <c r="G588" s="95">
        <v>500.0</v>
      </c>
      <c r="H588" s="99"/>
      <c r="I588" s="97" t="str">
        <f t="shared" si="3"/>
        <v>Обед (работа)</v>
      </c>
      <c r="J588" s="97" t="s">
        <v>93</v>
      </c>
      <c r="K588" s="97" t="s">
        <v>94</v>
      </c>
      <c r="L588" s="97" t="s">
        <v>95</v>
      </c>
      <c r="M588" s="97" t="s">
        <v>92</v>
      </c>
      <c r="N588" s="97"/>
      <c r="O588" s="97"/>
      <c r="P588" s="97"/>
    </row>
    <row r="589">
      <c r="A589" s="92">
        <f t="shared" si="1"/>
        <v>6</v>
      </c>
      <c r="B589" s="92">
        <f t="shared" si="2"/>
        <v>5</v>
      </c>
      <c r="C589" s="93">
        <v>43245.0</v>
      </c>
      <c r="D589" s="94" t="s">
        <v>146</v>
      </c>
      <c r="E589" s="94" t="s">
        <v>30</v>
      </c>
      <c r="F589" s="94" t="s">
        <v>89</v>
      </c>
      <c r="G589" s="95">
        <v>500.0</v>
      </c>
      <c r="H589" s="99"/>
      <c r="I589" s="97" t="str">
        <f t="shared" si="3"/>
        <v>Бар</v>
      </c>
      <c r="J589" s="97" t="s">
        <v>87</v>
      </c>
      <c r="K589" s="97" t="s">
        <v>88</v>
      </c>
      <c r="L589" s="97" t="s">
        <v>89</v>
      </c>
      <c r="M589" s="97" t="s">
        <v>90</v>
      </c>
      <c r="N589" s="97"/>
      <c r="O589" s="97"/>
      <c r="P589" s="97"/>
    </row>
    <row r="590">
      <c r="A590" s="92">
        <f t="shared" si="1"/>
        <v>6</v>
      </c>
      <c r="B590" s="92">
        <f t="shared" si="2"/>
        <v>5</v>
      </c>
      <c r="C590" s="93">
        <v>43245.0</v>
      </c>
      <c r="D590" s="94" t="s">
        <v>102</v>
      </c>
      <c r="E590" s="94" t="s">
        <v>21</v>
      </c>
      <c r="F590" s="94" t="s">
        <v>102</v>
      </c>
      <c r="G590" s="95">
        <v>449.0</v>
      </c>
      <c r="H590" s="99"/>
      <c r="I590" s="97" t="str">
        <f t="shared" si="3"/>
        <v>Вино</v>
      </c>
      <c r="J590" s="97" t="s">
        <v>97</v>
      </c>
      <c r="K590" s="97" t="s">
        <v>98</v>
      </c>
      <c r="L590" s="97" t="s">
        <v>99</v>
      </c>
      <c r="M590" s="97" t="s">
        <v>100</v>
      </c>
      <c r="N590" s="97"/>
      <c r="O590" s="97"/>
      <c r="P590" s="97"/>
    </row>
    <row r="591">
      <c r="A591" s="92">
        <f t="shared" si="1"/>
        <v>7</v>
      </c>
      <c r="B591" s="92">
        <f t="shared" si="2"/>
        <v>5</v>
      </c>
      <c r="C591" s="93">
        <v>43246.0</v>
      </c>
      <c r="D591" s="101" t="s">
        <v>124</v>
      </c>
      <c r="E591" s="100"/>
      <c r="F591" s="100"/>
      <c r="G591" s="95">
        <v>0.0</v>
      </c>
      <c r="H591" s="99"/>
      <c r="I591" s="97" t="str">
        <f t="shared" si="3"/>
        <v/>
      </c>
      <c r="J591" s="97"/>
      <c r="K591" s="97"/>
      <c r="L591" s="97"/>
      <c r="M591" s="97"/>
      <c r="N591" s="97"/>
      <c r="O591" s="97"/>
      <c r="P591" s="97"/>
    </row>
    <row r="592">
      <c r="A592" s="92">
        <f t="shared" si="1"/>
        <v>1</v>
      </c>
      <c r="B592" s="92">
        <f t="shared" si="2"/>
        <v>5</v>
      </c>
      <c r="C592" s="93">
        <v>43247.0</v>
      </c>
      <c r="D592" s="94" t="s">
        <v>101</v>
      </c>
      <c r="E592" s="94" t="s">
        <v>15</v>
      </c>
      <c r="F592" s="94" t="s">
        <v>110</v>
      </c>
      <c r="G592" s="95">
        <v>489.0</v>
      </c>
      <c r="H592" s="99"/>
      <c r="I592" s="97" t="str">
        <f t="shared" si="3"/>
        <v>Обед (работа)</v>
      </c>
      <c r="J592" s="97" t="s">
        <v>93</v>
      </c>
      <c r="K592" s="97" t="s">
        <v>94</v>
      </c>
      <c r="L592" s="97" t="s">
        <v>95</v>
      </c>
      <c r="M592" s="97" t="s">
        <v>92</v>
      </c>
      <c r="N592" s="97"/>
      <c r="O592" s="97"/>
      <c r="P592" s="97"/>
    </row>
    <row r="593">
      <c r="A593" s="92">
        <f t="shared" si="1"/>
        <v>1</v>
      </c>
      <c r="B593" s="92">
        <f t="shared" si="2"/>
        <v>5</v>
      </c>
      <c r="C593" s="93">
        <v>43247.0</v>
      </c>
      <c r="D593" s="94" t="s">
        <v>167</v>
      </c>
      <c r="E593" s="94" t="s">
        <v>40</v>
      </c>
      <c r="F593" s="100"/>
      <c r="G593" s="95">
        <v>1000.0</v>
      </c>
      <c r="H593" s="99"/>
      <c r="I593" s="97" t="str">
        <f t="shared" si="3"/>
        <v/>
      </c>
      <c r="J593" s="97"/>
      <c r="K593" s="97"/>
      <c r="L593" s="97"/>
      <c r="M593" s="97"/>
      <c r="N593" s="97"/>
      <c r="O593" s="97"/>
      <c r="P593" s="97"/>
    </row>
    <row r="594">
      <c r="A594" s="92">
        <f t="shared" si="1"/>
        <v>1</v>
      </c>
      <c r="B594" s="92">
        <f t="shared" si="2"/>
        <v>5</v>
      </c>
      <c r="C594" s="93">
        <v>43247.0</v>
      </c>
      <c r="D594" s="94" t="s">
        <v>249</v>
      </c>
      <c r="E594" s="94" t="s">
        <v>15</v>
      </c>
      <c r="F594" s="94" t="s">
        <v>95</v>
      </c>
      <c r="G594" s="95">
        <v>260.0</v>
      </c>
      <c r="H594" s="99"/>
      <c r="I594" s="97" t="str">
        <f t="shared" si="3"/>
        <v>Обед (работа)</v>
      </c>
      <c r="J594" s="97" t="s">
        <v>93</v>
      </c>
      <c r="K594" s="97" t="s">
        <v>94</v>
      </c>
      <c r="L594" s="97" t="s">
        <v>95</v>
      </c>
      <c r="M594" s="97" t="s">
        <v>92</v>
      </c>
      <c r="N594" s="97"/>
      <c r="O594" s="97"/>
      <c r="P594" s="97"/>
    </row>
    <row r="595">
      <c r="A595" s="92">
        <f t="shared" si="1"/>
        <v>2</v>
      </c>
      <c r="B595" s="92">
        <f t="shared" si="2"/>
        <v>5</v>
      </c>
      <c r="C595" s="93">
        <v>43248.0</v>
      </c>
      <c r="D595" s="94" t="s">
        <v>80</v>
      </c>
      <c r="E595" s="94" t="s">
        <v>24</v>
      </c>
      <c r="F595" s="94" t="s">
        <v>80</v>
      </c>
      <c r="G595" s="95">
        <v>132.0</v>
      </c>
      <c r="H595" s="99"/>
      <c r="I595" s="97" t="str">
        <f t="shared" si="3"/>
        <v>Такси</v>
      </c>
      <c r="J595" s="97" t="s">
        <v>81</v>
      </c>
      <c r="K595" s="97" t="s">
        <v>82</v>
      </c>
      <c r="L595" s="97" t="s">
        <v>83</v>
      </c>
      <c r="M595" s="97" t="s">
        <v>84</v>
      </c>
      <c r="N595" s="97"/>
      <c r="O595" s="97"/>
      <c r="P595" s="97"/>
    </row>
    <row r="596">
      <c r="A596" s="92">
        <f t="shared" si="1"/>
        <v>2</v>
      </c>
      <c r="B596" s="92">
        <f t="shared" si="2"/>
        <v>5</v>
      </c>
      <c r="C596" s="93">
        <v>43248.0</v>
      </c>
      <c r="D596" s="94" t="s">
        <v>83</v>
      </c>
      <c r="E596" s="94" t="s">
        <v>24</v>
      </c>
      <c r="F596" s="94" t="s">
        <v>83</v>
      </c>
      <c r="G596" s="95">
        <v>44.0</v>
      </c>
      <c r="H596" s="99"/>
      <c r="I596" s="97" t="str">
        <f t="shared" si="3"/>
        <v>Такси</v>
      </c>
      <c r="J596" s="97" t="s">
        <v>81</v>
      </c>
      <c r="K596" s="97" t="s">
        <v>82</v>
      </c>
      <c r="L596" s="97" t="s">
        <v>83</v>
      </c>
      <c r="M596" s="97" t="s">
        <v>84</v>
      </c>
      <c r="N596" s="97"/>
      <c r="O596" s="97"/>
      <c r="P596" s="97"/>
    </row>
    <row r="597">
      <c r="A597" s="92">
        <f t="shared" si="1"/>
        <v>2</v>
      </c>
      <c r="B597" s="92">
        <f t="shared" si="2"/>
        <v>5</v>
      </c>
      <c r="C597" s="93">
        <v>43248.0</v>
      </c>
      <c r="D597" s="94" t="s">
        <v>241</v>
      </c>
      <c r="E597" s="94" t="s">
        <v>15</v>
      </c>
      <c r="F597" s="94" t="s">
        <v>117</v>
      </c>
      <c r="G597" s="95">
        <v>199.0</v>
      </c>
      <c r="H597" s="99"/>
      <c r="I597" s="97" t="str">
        <f t="shared" si="3"/>
        <v>Обед (работа)</v>
      </c>
      <c r="J597" s="97" t="s">
        <v>93</v>
      </c>
      <c r="K597" s="97" t="s">
        <v>94</v>
      </c>
      <c r="L597" s="97" t="s">
        <v>95</v>
      </c>
      <c r="M597" s="97" t="s">
        <v>92</v>
      </c>
      <c r="N597" s="97"/>
      <c r="O597" s="97"/>
      <c r="P597" s="97"/>
    </row>
    <row r="598">
      <c r="A598" s="92">
        <f t="shared" si="1"/>
        <v>2</v>
      </c>
      <c r="B598" s="92">
        <f t="shared" si="2"/>
        <v>5</v>
      </c>
      <c r="C598" s="93">
        <v>43248.0</v>
      </c>
      <c r="D598" s="94" t="s">
        <v>91</v>
      </c>
      <c r="E598" s="94" t="s">
        <v>15</v>
      </c>
      <c r="F598" s="94" t="s">
        <v>117</v>
      </c>
      <c r="G598" s="95">
        <v>550.0</v>
      </c>
      <c r="H598" s="99"/>
      <c r="I598" s="97" t="str">
        <f t="shared" si="3"/>
        <v>Обед (работа)</v>
      </c>
      <c r="J598" s="97" t="s">
        <v>93</v>
      </c>
      <c r="K598" s="97" t="s">
        <v>94</v>
      </c>
      <c r="L598" s="97" t="s">
        <v>95</v>
      </c>
      <c r="M598" s="97" t="s">
        <v>92</v>
      </c>
      <c r="N598" s="97"/>
      <c r="O598" s="97"/>
      <c r="P598" s="97"/>
    </row>
    <row r="599">
      <c r="A599" s="92">
        <f t="shared" si="1"/>
        <v>2</v>
      </c>
      <c r="B599" s="92">
        <f t="shared" si="2"/>
        <v>5</v>
      </c>
      <c r="C599" s="93">
        <v>43248.0</v>
      </c>
      <c r="D599" s="94" t="s">
        <v>228</v>
      </c>
      <c r="E599" s="94" t="s">
        <v>34</v>
      </c>
      <c r="F599" s="100"/>
      <c r="G599" s="95">
        <v>1000.0</v>
      </c>
      <c r="H599" s="99"/>
      <c r="I599" s="97" t="str">
        <f t="shared" si="3"/>
        <v/>
      </c>
      <c r="J599" s="97"/>
      <c r="K599" s="97"/>
      <c r="L599" s="97"/>
      <c r="M599" s="97"/>
      <c r="N599" s="97"/>
      <c r="O599" s="97"/>
      <c r="P599" s="97"/>
    </row>
    <row r="600">
      <c r="A600" s="92">
        <f t="shared" si="1"/>
        <v>2</v>
      </c>
      <c r="B600" s="92">
        <f t="shared" si="2"/>
        <v>5</v>
      </c>
      <c r="C600" s="93">
        <v>43248.0</v>
      </c>
      <c r="D600" s="94" t="s">
        <v>250</v>
      </c>
      <c r="E600" s="94" t="s">
        <v>37</v>
      </c>
      <c r="F600" s="100"/>
      <c r="G600" s="95">
        <v>172.0</v>
      </c>
      <c r="H600" s="99"/>
      <c r="I600" s="97" t="str">
        <f t="shared" si="3"/>
        <v/>
      </c>
      <c r="J600" s="97"/>
      <c r="K600" s="97"/>
      <c r="L600" s="97"/>
      <c r="M600" s="97"/>
      <c r="N600" s="97"/>
      <c r="O600" s="97"/>
      <c r="P600" s="97"/>
    </row>
    <row r="601">
      <c r="A601" s="92">
        <f t="shared" si="1"/>
        <v>2</v>
      </c>
      <c r="B601" s="92">
        <f t="shared" si="2"/>
        <v>5</v>
      </c>
      <c r="C601" s="93">
        <v>43248.0</v>
      </c>
      <c r="D601" s="94" t="s">
        <v>26</v>
      </c>
      <c r="E601" s="94" t="s">
        <v>26</v>
      </c>
      <c r="F601" s="100"/>
      <c r="G601" s="95">
        <v>1200.0</v>
      </c>
      <c r="H601" s="99"/>
      <c r="I601" s="97" t="str">
        <f t="shared" si="3"/>
        <v/>
      </c>
      <c r="J601" s="97"/>
      <c r="K601" s="97"/>
      <c r="L601" s="97"/>
      <c r="M601" s="97"/>
      <c r="N601" s="97"/>
      <c r="O601" s="97"/>
      <c r="P601" s="97"/>
    </row>
    <row r="602">
      <c r="A602" s="92">
        <f t="shared" si="1"/>
        <v>3</v>
      </c>
      <c r="B602" s="92">
        <f t="shared" si="2"/>
        <v>5</v>
      </c>
      <c r="C602" s="93">
        <v>43249.0</v>
      </c>
      <c r="D602" s="94" t="s">
        <v>80</v>
      </c>
      <c r="E602" s="94" t="s">
        <v>24</v>
      </c>
      <c r="F602" s="94" t="s">
        <v>80</v>
      </c>
      <c r="G602" s="95">
        <v>118.0</v>
      </c>
      <c r="H602" s="99"/>
      <c r="I602" s="97" t="str">
        <f t="shared" si="3"/>
        <v>Такси</v>
      </c>
      <c r="J602" s="97" t="s">
        <v>81</v>
      </c>
      <c r="K602" s="97" t="s">
        <v>82</v>
      </c>
      <c r="L602" s="97" t="s">
        <v>83</v>
      </c>
      <c r="M602" s="97" t="s">
        <v>84</v>
      </c>
      <c r="N602" s="97"/>
      <c r="O602" s="97"/>
      <c r="P602" s="97"/>
    </row>
    <row r="603">
      <c r="A603" s="92">
        <f t="shared" si="1"/>
        <v>3</v>
      </c>
      <c r="B603" s="92">
        <f t="shared" si="2"/>
        <v>5</v>
      </c>
      <c r="C603" s="93">
        <v>43249.0</v>
      </c>
      <c r="D603" s="94" t="s">
        <v>91</v>
      </c>
      <c r="E603" s="94" t="s">
        <v>15</v>
      </c>
      <c r="F603" s="94" t="s">
        <v>117</v>
      </c>
      <c r="G603" s="95">
        <v>218.0</v>
      </c>
      <c r="H603" s="99"/>
      <c r="I603" s="97" t="str">
        <f t="shared" si="3"/>
        <v>Обед (работа)</v>
      </c>
      <c r="J603" s="97" t="s">
        <v>93</v>
      </c>
      <c r="K603" s="97" t="s">
        <v>94</v>
      </c>
      <c r="L603" s="97" t="s">
        <v>95</v>
      </c>
      <c r="M603" s="97" t="s">
        <v>92</v>
      </c>
      <c r="N603" s="97"/>
      <c r="O603" s="97"/>
      <c r="P603" s="97"/>
    </row>
    <row r="604">
      <c r="A604" s="92">
        <f t="shared" si="1"/>
        <v>3</v>
      </c>
      <c r="B604" s="92">
        <f t="shared" si="2"/>
        <v>5</v>
      </c>
      <c r="C604" s="93">
        <v>43249.0</v>
      </c>
      <c r="D604" s="94" t="s">
        <v>251</v>
      </c>
      <c r="E604" s="94" t="s">
        <v>30</v>
      </c>
      <c r="F604" s="94" t="s">
        <v>87</v>
      </c>
      <c r="G604" s="95">
        <v>1000.0</v>
      </c>
      <c r="H604" s="99"/>
      <c r="I604" s="97" t="str">
        <f t="shared" si="3"/>
        <v>Бар</v>
      </c>
      <c r="J604" s="97" t="s">
        <v>87</v>
      </c>
      <c r="K604" s="97" t="s">
        <v>88</v>
      </c>
      <c r="L604" s="97" t="s">
        <v>89</v>
      </c>
      <c r="M604" s="97" t="s">
        <v>90</v>
      </c>
      <c r="N604" s="97"/>
      <c r="O604" s="97"/>
      <c r="P604" s="97"/>
    </row>
    <row r="605">
      <c r="A605" s="92">
        <f t="shared" si="1"/>
        <v>3</v>
      </c>
      <c r="B605" s="92">
        <f t="shared" si="2"/>
        <v>5</v>
      </c>
      <c r="C605" s="93">
        <v>43249.0</v>
      </c>
      <c r="D605" s="94" t="s">
        <v>80</v>
      </c>
      <c r="E605" s="94" t="s">
        <v>24</v>
      </c>
      <c r="F605" s="94" t="s">
        <v>80</v>
      </c>
      <c r="G605" s="95">
        <v>209.0</v>
      </c>
      <c r="H605" s="99"/>
      <c r="I605" s="97" t="str">
        <f t="shared" si="3"/>
        <v>Такси</v>
      </c>
      <c r="J605" s="97" t="s">
        <v>81</v>
      </c>
      <c r="K605" s="97" t="s">
        <v>82</v>
      </c>
      <c r="L605" s="97" t="s">
        <v>83</v>
      </c>
      <c r="M605" s="97" t="s">
        <v>84</v>
      </c>
      <c r="N605" s="97"/>
      <c r="O605" s="97"/>
      <c r="P605" s="97"/>
    </row>
    <row r="606">
      <c r="A606" s="92">
        <f t="shared" si="1"/>
        <v>3</v>
      </c>
      <c r="B606" s="92">
        <f t="shared" si="2"/>
        <v>5</v>
      </c>
      <c r="C606" s="93">
        <v>43249.0</v>
      </c>
      <c r="D606" s="94" t="s">
        <v>135</v>
      </c>
      <c r="E606" s="94" t="s">
        <v>18</v>
      </c>
      <c r="F606" s="94" t="s">
        <v>115</v>
      </c>
      <c r="G606" s="95">
        <v>300.0</v>
      </c>
      <c r="H606" s="99"/>
      <c r="I606" s="97" t="str">
        <f t="shared" si="3"/>
        <v>Родственники</v>
      </c>
      <c r="J606" s="97" t="s">
        <v>116</v>
      </c>
      <c r="K606" s="97" t="s">
        <v>115</v>
      </c>
      <c r="L606" s="97"/>
      <c r="M606" s="97"/>
      <c r="N606" s="97"/>
      <c r="O606" s="97"/>
      <c r="P606" s="97"/>
    </row>
    <row r="607">
      <c r="A607" s="92">
        <f t="shared" si="1"/>
        <v>4</v>
      </c>
      <c r="B607" s="92">
        <f t="shared" si="2"/>
        <v>5</v>
      </c>
      <c r="C607" s="93">
        <v>43250.0</v>
      </c>
      <c r="D607" s="94" t="s">
        <v>80</v>
      </c>
      <c r="E607" s="94" t="s">
        <v>24</v>
      </c>
      <c r="F607" s="94" t="s">
        <v>80</v>
      </c>
      <c r="G607" s="95">
        <v>131.0</v>
      </c>
      <c r="H607" s="99"/>
      <c r="I607" s="97" t="str">
        <f t="shared" si="3"/>
        <v>Такси</v>
      </c>
      <c r="J607" s="97" t="s">
        <v>81</v>
      </c>
      <c r="K607" s="97" t="s">
        <v>82</v>
      </c>
      <c r="L607" s="97" t="s">
        <v>83</v>
      </c>
      <c r="M607" s="97" t="s">
        <v>84</v>
      </c>
      <c r="N607" s="97"/>
      <c r="O607" s="97"/>
      <c r="P607" s="97"/>
    </row>
    <row r="608">
      <c r="A608" s="92">
        <f t="shared" si="1"/>
        <v>4</v>
      </c>
      <c r="B608" s="92">
        <f t="shared" si="2"/>
        <v>5</v>
      </c>
      <c r="C608" s="93">
        <v>43250.0</v>
      </c>
      <c r="D608" s="94" t="s">
        <v>91</v>
      </c>
      <c r="E608" s="94" t="s">
        <v>15</v>
      </c>
      <c r="F608" s="94" t="s">
        <v>117</v>
      </c>
      <c r="G608" s="95">
        <v>276.0</v>
      </c>
      <c r="H608" s="99"/>
      <c r="I608" s="97" t="str">
        <f t="shared" si="3"/>
        <v>Обед (работа)</v>
      </c>
      <c r="J608" s="97" t="s">
        <v>93</v>
      </c>
      <c r="K608" s="97" t="s">
        <v>94</v>
      </c>
      <c r="L608" s="97" t="s">
        <v>95</v>
      </c>
      <c r="M608" s="97" t="s">
        <v>92</v>
      </c>
      <c r="N608" s="97"/>
      <c r="O608" s="97"/>
      <c r="P608" s="97"/>
    </row>
    <row r="609">
      <c r="A609" s="92">
        <f t="shared" si="1"/>
        <v>4</v>
      </c>
      <c r="B609" s="92">
        <f t="shared" si="2"/>
        <v>5</v>
      </c>
      <c r="C609" s="93">
        <v>43250.0</v>
      </c>
      <c r="D609" s="94" t="s">
        <v>26</v>
      </c>
      <c r="E609" s="94" t="s">
        <v>26</v>
      </c>
      <c r="F609" s="100"/>
      <c r="G609" s="95">
        <v>390.0</v>
      </c>
      <c r="H609" s="99"/>
      <c r="I609" s="97" t="str">
        <f t="shared" si="3"/>
        <v/>
      </c>
      <c r="J609" s="97"/>
      <c r="K609" s="97"/>
      <c r="L609" s="97"/>
      <c r="M609" s="97"/>
      <c r="N609" s="97"/>
      <c r="O609" s="97"/>
      <c r="P609" s="97"/>
    </row>
    <row r="610">
      <c r="A610" s="92">
        <f t="shared" si="1"/>
        <v>5</v>
      </c>
      <c r="B610" s="92">
        <f t="shared" si="2"/>
        <v>5</v>
      </c>
      <c r="C610" s="93">
        <v>43251.0</v>
      </c>
      <c r="D610" s="94" t="s">
        <v>80</v>
      </c>
      <c r="E610" s="94" t="s">
        <v>24</v>
      </c>
      <c r="F610" s="94" t="s">
        <v>80</v>
      </c>
      <c r="G610" s="95">
        <v>141.0</v>
      </c>
      <c r="H610" s="99"/>
      <c r="I610" s="97" t="str">
        <f t="shared" si="3"/>
        <v>Такси</v>
      </c>
      <c r="J610" s="97" t="s">
        <v>81</v>
      </c>
      <c r="K610" s="97" t="s">
        <v>82</v>
      </c>
      <c r="L610" s="97" t="s">
        <v>83</v>
      </c>
      <c r="M610" s="97" t="s">
        <v>84</v>
      </c>
      <c r="N610" s="97"/>
      <c r="O610" s="97"/>
      <c r="P610" s="97"/>
    </row>
    <row r="611">
      <c r="A611" s="92">
        <f t="shared" si="1"/>
        <v>5</v>
      </c>
      <c r="B611" s="92">
        <f t="shared" si="2"/>
        <v>5</v>
      </c>
      <c r="C611" s="93">
        <v>43251.0</v>
      </c>
      <c r="D611" s="94" t="s">
        <v>91</v>
      </c>
      <c r="E611" s="94" t="s">
        <v>15</v>
      </c>
      <c r="F611" s="94" t="s">
        <v>117</v>
      </c>
      <c r="G611" s="95">
        <v>450.0</v>
      </c>
      <c r="H611" s="99"/>
      <c r="I611" s="97" t="str">
        <f t="shared" si="3"/>
        <v>Обед (работа)</v>
      </c>
      <c r="J611" s="97" t="s">
        <v>93</v>
      </c>
      <c r="K611" s="97" t="s">
        <v>94</v>
      </c>
      <c r="L611" s="97" t="s">
        <v>95</v>
      </c>
      <c r="M611" s="97" t="s">
        <v>92</v>
      </c>
      <c r="N611" s="97"/>
      <c r="O611" s="97"/>
      <c r="P611" s="97"/>
    </row>
    <row r="612">
      <c r="A612" s="92">
        <f t="shared" si="1"/>
        <v>5</v>
      </c>
      <c r="B612" s="92">
        <f t="shared" si="2"/>
        <v>5</v>
      </c>
      <c r="C612" s="93">
        <v>43251.0</v>
      </c>
      <c r="D612" s="94" t="s">
        <v>93</v>
      </c>
      <c r="E612" s="94" t="s">
        <v>15</v>
      </c>
      <c r="F612" s="94" t="s">
        <v>93</v>
      </c>
      <c r="G612" s="95">
        <v>153.0</v>
      </c>
      <c r="H612" s="99"/>
      <c r="I612" s="97" t="str">
        <f t="shared" si="3"/>
        <v>Обед (работа)</v>
      </c>
      <c r="J612" s="97" t="s">
        <v>93</v>
      </c>
      <c r="K612" s="97" t="s">
        <v>94</v>
      </c>
      <c r="L612" s="97" t="s">
        <v>95</v>
      </c>
      <c r="M612" s="97" t="s">
        <v>92</v>
      </c>
      <c r="N612" s="97"/>
      <c r="O612" s="97"/>
      <c r="P612" s="97"/>
    </row>
    <row r="613">
      <c r="A613" s="92">
        <f t="shared" si="1"/>
        <v>5</v>
      </c>
      <c r="B613" s="92">
        <f t="shared" si="2"/>
        <v>5</v>
      </c>
      <c r="C613" s="93">
        <v>43251.0</v>
      </c>
      <c r="D613" s="94" t="s">
        <v>250</v>
      </c>
      <c r="E613" s="94" t="s">
        <v>37</v>
      </c>
      <c r="F613" s="100"/>
      <c r="G613" s="95">
        <v>485.0</v>
      </c>
      <c r="H613" s="99"/>
      <c r="I613" s="97" t="str">
        <f t="shared" si="3"/>
        <v/>
      </c>
      <c r="J613" s="97"/>
      <c r="K613" s="97"/>
      <c r="L613" s="97"/>
      <c r="M613" s="97"/>
      <c r="N613" s="97"/>
      <c r="O613" s="97"/>
      <c r="P613" s="97"/>
    </row>
    <row r="614">
      <c r="A614" s="92">
        <f t="shared" si="1"/>
        <v>6</v>
      </c>
      <c r="B614" s="92">
        <f t="shared" si="2"/>
        <v>6</v>
      </c>
      <c r="C614" s="93">
        <v>43252.0</v>
      </c>
      <c r="D614" s="94" t="s">
        <v>80</v>
      </c>
      <c r="E614" s="94" t="s">
        <v>24</v>
      </c>
      <c r="F614" s="94" t="s">
        <v>80</v>
      </c>
      <c r="G614" s="95">
        <v>118.0</v>
      </c>
      <c r="H614" s="99"/>
      <c r="I614" s="97" t="str">
        <f t="shared" si="3"/>
        <v>Такси</v>
      </c>
      <c r="J614" s="97" t="s">
        <v>81</v>
      </c>
      <c r="K614" s="97" t="s">
        <v>82</v>
      </c>
      <c r="L614" s="97" t="s">
        <v>83</v>
      </c>
      <c r="M614" s="97" t="s">
        <v>84</v>
      </c>
      <c r="N614" s="97"/>
      <c r="O614" s="97"/>
      <c r="P614" s="97"/>
    </row>
    <row r="615">
      <c r="A615" s="92">
        <f t="shared" si="1"/>
        <v>6</v>
      </c>
      <c r="B615" s="92">
        <f t="shared" si="2"/>
        <v>6</v>
      </c>
      <c r="C615" s="93">
        <v>43252.0</v>
      </c>
      <c r="D615" s="94" t="s">
        <v>91</v>
      </c>
      <c r="E615" s="94" t="s">
        <v>15</v>
      </c>
      <c r="F615" s="94" t="s">
        <v>117</v>
      </c>
      <c r="G615" s="95">
        <v>370.0</v>
      </c>
      <c r="H615" s="99"/>
      <c r="I615" s="97" t="str">
        <f t="shared" si="3"/>
        <v>Обед (работа)</v>
      </c>
      <c r="J615" s="97" t="s">
        <v>93</v>
      </c>
      <c r="K615" s="97" t="s">
        <v>94</v>
      </c>
      <c r="L615" s="97" t="s">
        <v>95</v>
      </c>
      <c r="M615" s="97" t="s">
        <v>92</v>
      </c>
      <c r="N615" s="97"/>
      <c r="O615" s="97"/>
      <c r="P615" s="97"/>
    </row>
    <row r="616">
      <c r="A616" s="92">
        <f t="shared" si="1"/>
        <v>6</v>
      </c>
      <c r="B616" s="92">
        <f t="shared" si="2"/>
        <v>6</v>
      </c>
      <c r="C616" s="93">
        <v>43252.0</v>
      </c>
      <c r="D616" s="94" t="s">
        <v>225</v>
      </c>
      <c r="E616" s="94" t="s">
        <v>18</v>
      </c>
      <c r="F616" s="94" t="s">
        <v>115</v>
      </c>
      <c r="G616" s="95">
        <v>300.0</v>
      </c>
      <c r="H616" s="99"/>
      <c r="I616" s="97" t="str">
        <f t="shared" si="3"/>
        <v>Родственники</v>
      </c>
      <c r="J616" s="97" t="s">
        <v>116</v>
      </c>
      <c r="K616" s="97" t="s">
        <v>115</v>
      </c>
      <c r="L616" s="97"/>
      <c r="M616" s="97"/>
      <c r="N616" s="97"/>
      <c r="O616" s="97"/>
      <c r="P616" s="97"/>
    </row>
    <row r="617">
      <c r="A617" s="92">
        <f t="shared" si="1"/>
        <v>6</v>
      </c>
      <c r="B617" s="92">
        <f t="shared" si="2"/>
        <v>6</v>
      </c>
      <c r="C617" s="93">
        <v>43252.0</v>
      </c>
      <c r="D617" s="94" t="s">
        <v>102</v>
      </c>
      <c r="E617" s="94" t="s">
        <v>21</v>
      </c>
      <c r="F617" s="94" t="s">
        <v>102</v>
      </c>
      <c r="G617" s="95">
        <v>549.0</v>
      </c>
      <c r="H617" s="99"/>
      <c r="I617" s="97" t="str">
        <f t="shared" si="3"/>
        <v>Вино</v>
      </c>
      <c r="J617" s="97" t="s">
        <v>97</v>
      </c>
      <c r="K617" s="97" t="s">
        <v>98</v>
      </c>
      <c r="L617" s="97" t="s">
        <v>99</v>
      </c>
      <c r="M617" s="97" t="s">
        <v>100</v>
      </c>
      <c r="N617" s="97"/>
      <c r="O617" s="97"/>
      <c r="P617" s="97"/>
    </row>
    <row r="618">
      <c r="A618" s="92">
        <f t="shared" si="1"/>
        <v>6</v>
      </c>
      <c r="B618" s="92">
        <f t="shared" si="2"/>
        <v>6</v>
      </c>
      <c r="C618" s="93">
        <v>43252.0</v>
      </c>
      <c r="D618" s="94" t="s">
        <v>252</v>
      </c>
      <c r="E618" s="94" t="s">
        <v>30</v>
      </c>
      <c r="F618" s="94" t="s">
        <v>89</v>
      </c>
      <c r="G618" s="95">
        <v>1500.0</v>
      </c>
      <c r="H618" s="99"/>
      <c r="I618" s="97" t="str">
        <f t="shared" si="3"/>
        <v>Бар</v>
      </c>
      <c r="J618" s="97" t="s">
        <v>87</v>
      </c>
      <c r="K618" s="97" t="s">
        <v>88</v>
      </c>
      <c r="L618" s="97" t="s">
        <v>89</v>
      </c>
      <c r="M618" s="97" t="s">
        <v>90</v>
      </c>
      <c r="N618" s="97"/>
      <c r="O618" s="97"/>
      <c r="P618" s="97"/>
    </row>
    <row r="619">
      <c r="A619" s="92">
        <f t="shared" si="1"/>
        <v>7</v>
      </c>
      <c r="B619" s="92">
        <f t="shared" si="2"/>
        <v>6</v>
      </c>
      <c r="C619" s="93">
        <v>43253.0</v>
      </c>
      <c r="D619" s="94" t="s">
        <v>80</v>
      </c>
      <c r="E619" s="94" t="s">
        <v>24</v>
      </c>
      <c r="F619" s="94" t="s">
        <v>80</v>
      </c>
      <c r="G619" s="95">
        <v>190.0</v>
      </c>
      <c r="H619" s="99"/>
      <c r="I619" s="97" t="str">
        <f t="shared" si="3"/>
        <v>Такси</v>
      </c>
      <c r="J619" s="97" t="s">
        <v>81</v>
      </c>
      <c r="K619" s="97" t="s">
        <v>82</v>
      </c>
      <c r="L619" s="97" t="s">
        <v>83</v>
      </c>
      <c r="M619" s="97" t="s">
        <v>84</v>
      </c>
      <c r="N619" s="97"/>
      <c r="O619" s="97"/>
      <c r="P619" s="97"/>
    </row>
    <row r="620">
      <c r="A620" s="92">
        <f t="shared" si="1"/>
        <v>7</v>
      </c>
      <c r="B620" s="92">
        <f t="shared" si="2"/>
        <v>6</v>
      </c>
      <c r="C620" s="93">
        <v>43253.0</v>
      </c>
      <c r="D620" s="94" t="s">
        <v>208</v>
      </c>
      <c r="E620" s="94" t="s">
        <v>18</v>
      </c>
      <c r="F620" s="94" t="s">
        <v>116</v>
      </c>
      <c r="G620" s="95">
        <v>2000.0</v>
      </c>
      <c r="H620" s="99"/>
      <c r="I620" s="97" t="str">
        <f t="shared" si="3"/>
        <v>Родственники</v>
      </c>
      <c r="J620" s="97" t="s">
        <v>116</v>
      </c>
      <c r="K620" s="97" t="s">
        <v>115</v>
      </c>
      <c r="L620" s="97"/>
      <c r="M620" s="97"/>
      <c r="N620" s="97"/>
      <c r="O620" s="97"/>
      <c r="P620" s="97"/>
    </row>
    <row r="621">
      <c r="A621" s="92">
        <f t="shared" si="1"/>
        <v>7</v>
      </c>
      <c r="B621" s="92">
        <f t="shared" si="2"/>
        <v>6</v>
      </c>
      <c r="C621" s="93">
        <v>43253.0</v>
      </c>
      <c r="D621" s="94" t="s">
        <v>253</v>
      </c>
      <c r="E621" s="94" t="s">
        <v>30</v>
      </c>
      <c r="F621" s="94" t="s">
        <v>86</v>
      </c>
      <c r="G621" s="95">
        <v>2100.0</v>
      </c>
      <c r="H621" s="99"/>
      <c r="I621" s="97" t="str">
        <f t="shared" si="3"/>
        <v>Бар</v>
      </c>
      <c r="J621" s="97" t="s">
        <v>87</v>
      </c>
      <c r="K621" s="97" t="s">
        <v>88</v>
      </c>
      <c r="L621" s="97" t="s">
        <v>89</v>
      </c>
      <c r="M621" s="97" t="s">
        <v>90</v>
      </c>
      <c r="N621" s="97"/>
      <c r="O621" s="97"/>
      <c r="P621" s="97"/>
    </row>
    <row r="622">
      <c r="A622" s="92">
        <f t="shared" si="1"/>
        <v>7</v>
      </c>
      <c r="B622" s="92">
        <f t="shared" si="2"/>
        <v>6</v>
      </c>
      <c r="C622" s="93">
        <v>43253.0</v>
      </c>
      <c r="D622" s="94" t="s">
        <v>80</v>
      </c>
      <c r="E622" s="94" t="s">
        <v>24</v>
      </c>
      <c r="F622" s="94" t="s">
        <v>80</v>
      </c>
      <c r="G622" s="95">
        <v>500.0</v>
      </c>
      <c r="H622" s="99"/>
      <c r="I622" s="97" t="str">
        <f t="shared" si="3"/>
        <v>Такси</v>
      </c>
      <c r="J622" s="97" t="s">
        <v>81</v>
      </c>
      <c r="K622" s="97" t="s">
        <v>82</v>
      </c>
      <c r="L622" s="97" t="s">
        <v>83</v>
      </c>
      <c r="M622" s="97" t="s">
        <v>84</v>
      </c>
      <c r="N622" s="97"/>
      <c r="O622" s="97"/>
      <c r="P622" s="97"/>
    </row>
    <row r="623">
      <c r="A623" s="92">
        <f t="shared" si="1"/>
        <v>1</v>
      </c>
      <c r="B623" s="92">
        <f t="shared" si="2"/>
        <v>6</v>
      </c>
      <c r="C623" s="93">
        <v>43254.0</v>
      </c>
      <c r="D623" s="101" t="s">
        <v>124</v>
      </c>
      <c r="E623" s="100"/>
      <c r="F623" s="100"/>
      <c r="G623" s="95">
        <v>0.0</v>
      </c>
      <c r="H623" s="99"/>
      <c r="I623" s="97" t="str">
        <f t="shared" si="3"/>
        <v/>
      </c>
      <c r="J623" s="97"/>
      <c r="K623" s="97"/>
      <c r="L623" s="97"/>
      <c r="M623" s="97"/>
      <c r="N623" s="97"/>
      <c r="O623" s="97"/>
      <c r="P623" s="97"/>
    </row>
    <row r="624">
      <c r="A624" s="92">
        <f t="shared" si="1"/>
        <v>2</v>
      </c>
      <c r="B624" s="92">
        <f t="shared" si="2"/>
        <v>6</v>
      </c>
      <c r="C624" s="93">
        <v>43255.0</v>
      </c>
      <c r="D624" s="94" t="s">
        <v>80</v>
      </c>
      <c r="E624" s="94" t="s">
        <v>24</v>
      </c>
      <c r="F624" s="94" t="s">
        <v>80</v>
      </c>
      <c r="G624" s="95">
        <v>130.0</v>
      </c>
      <c r="H624" s="99"/>
      <c r="I624" s="97" t="str">
        <f t="shared" si="3"/>
        <v>Такси</v>
      </c>
      <c r="J624" s="97" t="s">
        <v>81</v>
      </c>
      <c r="K624" s="97" t="s">
        <v>82</v>
      </c>
      <c r="L624" s="97" t="s">
        <v>83</v>
      </c>
      <c r="M624" s="97" t="s">
        <v>84</v>
      </c>
      <c r="N624" s="97"/>
      <c r="O624" s="97"/>
      <c r="P624" s="97"/>
    </row>
    <row r="625">
      <c r="A625" s="92">
        <f t="shared" si="1"/>
        <v>2</v>
      </c>
      <c r="B625" s="92">
        <f t="shared" si="2"/>
        <v>6</v>
      </c>
      <c r="C625" s="93">
        <v>43255.0</v>
      </c>
      <c r="D625" s="94" t="s">
        <v>91</v>
      </c>
      <c r="E625" s="94" t="s">
        <v>15</v>
      </c>
      <c r="F625" s="94" t="s">
        <v>117</v>
      </c>
      <c r="G625" s="95">
        <v>111.0</v>
      </c>
      <c r="H625" s="99"/>
      <c r="I625" s="97" t="str">
        <f t="shared" si="3"/>
        <v>Обед (работа)</v>
      </c>
      <c r="J625" s="97" t="s">
        <v>93</v>
      </c>
      <c r="K625" s="97" t="s">
        <v>94</v>
      </c>
      <c r="L625" s="97" t="s">
        <v>95</v>
      </c>
      <c r="M625" s="97" t="s">
        <v>92</v>
      </c>
      <c r="N625" s="97"/>
      <c r="O625" s="97"/>
      <c r="P625" s="97"/>
    </row>
    <row r="626">
      <c r="A626" s="92">
        <f t="shared" si="1"/>
        <v>2</v>
      </c>
      <c r="B626" s="92">
        <f t="shared" si="2"/>
        <v>6</v>
      </c>
      <c r="C626" s="93">
        <v>43255.0</v>
      </c>
      <c r="D626" s="94" t="s">
        <v>154</v>
      </c>
      <c r="E626" s="94" t="s">
        <v>37</v>
      </c>
      <c r="F626" s="100"/>
      <c r="G626" s="95">
        <v>299.0</v>
      </c>
      <c r="H626" s="99"/>
      <c r="I626" s="97" t="str">
        <f t="shared" si="3"/>
        <v/>
      </c>
      <c r="J626" s="97"/>
      <c r="K626" s="97"/>
      <c r="L626" s="97"/>
      <c r="M626" s="97"/>
      <c r="N626" s="97"/>
      <c r="O626" s="97"/>
      <c r="P626" s="97"/>
    </row>
    <row r="627">
      <c r="A627" s="92">
        <f t="shared" si="1"/>
        <v>2</v>
      </c>
      <c r="B627" s="92">
        <f t="shared" si="2"/>
        <v>6</v>
      </c>
      <c r="C627" s="93">
        <v>43255.0</v>
      </c>
      <c r="D627" s="94" t="s">
        <v>226</v>
      </c>
      <c r="E627" s="94" t="s">
        <v>15</v>
      </c>
      <c r="F627" s="94" t="s">
        <v>110</v>
      </c>
      <c r="G627" s="95">
        <v>510.0</v>
      </c>
      <c r="H627" s="99"/>
      <c r="I627" s="97" t="str">
        <f t="shared" si="3"/>
        <v>Обед (работа)</v>
      </c>
      <c r="J627" s="97" t="s">
        <v>93</v>
      </c>
      <c r="K627" s="97" t="s">
        <v>94</v>
      </c>
      <c r="L627" s="97" t="s">
        <v>95</v>
      </c>
      <c r="M627" s="97" t="s">
        <v>92</v>
      </c>
      <c r="N627" s="97"/>
      <c r="O627" s="97"/>
      <c r="P627" s="97"/>
    </row>
    <row r="628">
      <c r="A628" s="92">
        <f t="shared" si="1"/>
        <v>2</v>
      </c>
      <c r="B628" s="92">
        <f t="shared" si="2"/>
        <v>6</v>
      </c>
      <c r="C628" s="93">
        <v>43255.0</v>
      </c>
      <c r="D628" s="94" t="s">
        <v>93</v>
      </c>
      <c r="E628" s="94" t="s">
        <v>15</v>
      </c>
      <c r="F628" s="94" t="s">
        <v>93</v>
      </c>
      <c r="G628" s="95">
        <v>111.0</v>
      </c>
      <c r="H628" s="99"/>
      <c r="I628" s="97" t="str">
        <f t="shared" si="3"/>
        <v>Обед (работа)</v>
      </c>
      <c r="J628" s="97" t="s">
        <v>93</v>
      </c>
      <c r="K628" s="97" t="s">
        <v>94</v>
      </c>
      <c r="L628" s="97" t="s">
        <v>95</v>
      </c>
      <c r="M628" s="97" t="s">
        <v>92</v>
      </c>
      <c r="N628" s="97"/>
      <c r="O628" s="97"/>
      <c r="P628" s="97"/>
    </row>
    <row r="629">
      <c r="A629" s="92">
        <f t="shared" si="1"/>
        <v>3</v>
      </c>
      <c r="B629" s="92">
        <f t="shared" si="2"/>
        <v>6</v>
      </c>
      <c r="C629" s="93">
        <v>43256.0</v>
      </c>
      <c r="D629" s="94" t="s">
        <v>80</v>
      </c>
      <c r="E629" s="94" t="s">
        <v>24</v>
      </c>
      <c r="F629" s="94" t="s">
        <v>80</v>
      </c>
      <c r="G629" s="95">
        <v>119.0</v>
      </c>
      <c r="H629" s="99"/>
      <c r="I629" s="97" t="str">
        <f t="shared" si="3"/>
        <v>Такси</v>
      </c>
      <c r="J629" s="97" t="s">
        <v>81</v>
      </c>
      <c r="K629" s="97" t="s">
        <v>82</v>
      </c>
      <c r="L629" s="97" t="s">
        <v>83</v>
      </c>
      <c r="M629" s="97" t="s">
        <v>84</v>
      </c>
      <c r="N629" s="97"/>
      <c r="O629" s="97"/>
      <c r="P629" s="97"/>
    </row>
    <row r="630">
      <c r="A630" s="92">
        <f t="shared" si="1"/>
        <v>3</v>
      </c>
      <c r="B630" s="92">
        <f t="shared" si="2"/>
        <v>6</v>
      </c>
      <c r="C630" s="93">
        <v>43256.0</v>
      </c>
      <c r="D630" s="94" t="s">
        <v>91</v>
      </c>
      <c r="E630" s="94" t="s">
        <v>15</v>
      </c>
      <c r="F630" s="94" t="s">
        <v>117</v>
      </c>
      <c r="G630" s="95">
        <v>241.0</v>
      </c>
      <c r="H630" s="99"/>
      <c r="I630" s="97" t="str">
        <f t="shared" si="3"/>
        <v>Обед (работа)</v>
      </c>
      <c r="J630" s="97" t="s">
        <v>93</v>
      </c>
      <c r="K630" s="97" t="s">
        <v>94</v>
      </c>
      <c r="L630" s="97" t="s">
        <v>95</v>
      </c>
      <c r="M630" s="97" t="s">
        <v>92</v>
      </c>
      <c r="N630" s="97"/>
      <c r="O630" s="97"/>
      <c r="P630" s="97"/>
    </row>
    <row r="631">
      <c r="A631" s="92">
        <f t="shared" si="1"/>
        <v>3</v>
      </c>
      <c r="B631" s="92">
        <f t="shared" si="2"/>
        <v>6</v>
      </c>
      <c r="C631" s="93">
        <v>43256.0</v>
      </c>
      <c r="D631" s="94" t="s">
        <v>26</v>
      </c>
      <c r="E631" s="94" t="s">
        <v>26</v>
      </c>
      <c r="F631" s="100"/>
      <c r="G631" s="95">
        <v>1500.0</v>
      </c>
      <c r="H631" s="99"/>
      <c r="I631" s="97" t="str">
        <f t="shared" si="3"/>
        <v/>
      </c>
      <c r="J631" s="97"/>
      <c r="K631" s="97"/>
      <c r="L631" s="97"/>
      <c r="M631" s="97"/>
      <c r="N631" s="97"/>
      <c r="O631" s="97"/>
      <c r="P631" s="97"/>
    </row>
    <row r="632">
      <c r="A632" s="92">
        <f t="shared" si="1"/>
        <v>4</v>
      </c>
      <c r="B632" s="92">
        <f t="shared" si="2"/>
        <v>6</v>
      </c>
      <c r="C632" s="93">
        <v>43257.0</v>
      </c>
      <c r="D632" s="94" t="s">
        <v>80</v>
      </c>
      <c r="E632" s="94" t="s">
        <v>24</v>
      </c>
      <c r="F632" s="94" t="s">
        <v>80</v>
      </c>
      <c r="G632" s="95">
        <v>121.0</v>
      </c>
      <c r="H632" s="99"/>
      <c r="I632" s="97" t="str">
        <f t="shared" si="3"/>
        <v>Такси</v>
      </c>
      <c r="J632" s="97" t="s">
        <v>81</v>
      </c>
      <c r="K632" s="97" t="s">
        <v>82</v>
      </c>
      <c r="L632" s="97" t="s">
        <v>83</v>
      </c>
      <c r="M632" s="97" t="s">
        <v>84</v>
      </c>
      <c r="N632" s="97"/>
      <c r="O632" s="97"/>
      <c r="P632" s="97"/>
    </row>
    <row r="633">
      <c r="A633" s="92">
        <f t="shared" si="1"/>
        <v>4</v>
      </c>
      <c r="B633" s="92">
        <f t="shared" si="2"/>
        <v>6</v>
      </c>
      <c r="C633" s="93">
        <v>43257.0</v>
      </c>
      <c r="D633" s="94" t="s">
        <v>91</v>
      </c>
      <c r="E633" s="94" t="s">
        <v>15</v>
      </c>
      <c r="F633" s="94" t="s">
        <v>117</v>
      </c>
      <c r="G633" s="95">
        <v>380.0</v>
      </c>
      <c r="H633" s="99"/>
      <c r="I633" s="97" t="str">
        <f t="shared" si="3"/>
        <v>Обед (работа)</v>
      </c>
      <c r="J633" s="97" t="s">
        <v>93</v>
      </c>
      <c r="K633" s="97" t="s">
        <v>94</v>
      </c>
      <c r="L633" s="97" t="s">
        <v>95</v>
      </c>
      <c r="M633" s="97" t="s">
        <v>92</v>
      </c>
      <c r="N633" s="97"/>
      <c r="O633" s="97"/>
      <c r="P633" s="97"/>
    </row>
    <row r="634">
      <c r="A634" s="92">
        <f t="shared" si="1"/>
        <v>4</v>
      </c>
      <c r="B634" s="92">
        <f t="shared" si="2"/>
        <v>6</v>
      </c>
      <c r="C634" s="93">
        <v>43257.0</v>
      </c>
      <c r="D634" s="94" t="s">
        <v>112</v>
      </c>
      <c r="E634" s="94" t="s">
        <v>15</v>
      </c>
      <c r="F634" s="94" t="s">
        <v>95</v>
      </c>
      <c r="G634" s="95">
        <v>125.0</v>
      </c>
      <c r="H634" s="99"/>
      <c r="I634" s="97" t="str">
        <f t="shared" si="3"/>
        <v>Обед (работа)</v>
      </c>
      <c r="J634" s="97" t="s">
        <v>93</v>
      </c>
      <c r="K634" s="97" t="s">
        <v>94</v>
      </c>
      <c r="L634" s="97" t="s">
        <v>95</v>
      </c>
      <c r="M634" s="97" t="s">
        <v>92</v>
      </c>
      <c r="N634" s="97"/>
      <c r="O634" s="97"/>
      <c r="P634" s="97"/>
    </row>
    <row r="635">
      <c r="A635" s="92">
        <f t="shared" si="1"/>
        <v>5</v>
      </c>
      <c r="B635" s="92">
        <f t="shared" si="2"/>
        <v>6</v>
      </c>
      <c r="C635" s="93">
        <v>43258.0</v>
      </c>
      <c r="D635" s="94" t="s">
        <v>80</v>
      </c>
      <c r="E635" s="94" t="s">
        <v>24</v>
      </c>
      <c r="F635" s="94" t="s">
        <v>80</v>
      </c>
      <c r="G635" s="95">
        <v>125.0</v>
      </c>
      <c r="H635" s="99"/>
      <c r="I635" s="97" t="str">
        <f t="shared" si="3"/>
        <v>Такси</v>
      </c>
      <c r="J635" s="97" t="s">
        <v>81</v>
      </c>
      <c r="K635" s="97" t="s">
        <v>82</v>
      </c>
      <c r="L635" s="97" t="s">
        <v>83</v>
      </c>
      <c r="M635" s="97" t="s">
        <v>84</v>
      </c>
      <c r="N635" s="97"/>
      <c r="O635" s="97"/>
      <c r="P635" s="97"/>
    </row>
    <row r="636">
      <c r="A636" s="92">
        <f t="shared" si="1"/>
        <v>5</v>
      </c>
      <c r="B636" s="92">
        <f t="shared" si="2"/>
        <v>6</v>
      </c>
      <c r="C636" s="93">
        <v>43258.0</v>
      </c>
      <c r="D636" s="94" t="s">
        <v>83</v>
      </c>
      <c r="E636" s="94" t="s">
        <v>24</v>
      </c>
      <c r="F636" s="94" t="s">
        <v>83</v>
      </c>
      <c r="G636" s="95">
        <v>44.0</v>
      </c>
      <c r="H636" s="99"/>
      <c r="I636" s="97" t="str">
        <f t="shared" si="3"/>
        <v>Такси</v>
      </c>
      <c r="J636" s="97" t="s">
        <v>81</v>
      </c>
      <c r="K636" s="97" t="s">
        <v>82</v>
      </c>
      <c r="L636" s="97" t="s">
        <v>83</v>
      </c>
      <c r="M636" s="97" t="s">
        <v>84</v>
      </c>
      <c r="N636" s="97"/>
      <c r="O636" s="97"/>
      <c r="P636" s="97"/>
    </row>
    <row r="637">
      <c r="A637" s="92">
        <f t="shared" si="1"/>
        <v>5</v>
      </c>
      <c r="B637" s="92">
        <f t="shared" si="2"/>
        <v>6</v>
      </c>
      <c r="C637" s="93">
        <v>43258.0</v>
      </c>
      <c r="D637" s="94" t="s">
        <v>91</v>
      </c>
      <c r="E637" s="94" t="s">
        <v>15</v>
      </c>
      <c r="F637" s="94" t="s">
        <v>117</v>
      </c>
      <c r="G637" s="95">
        <v>298.0</v>
      </c>
      <c r="H637" s="99"/>
      <c r="I637" s="97" t="str">
        <f t="shared" si="3"/>
        <v>Обед (работа)</v>
      </c>
      <c r="J637" s="97" t="s">
        <v>93</v>
      </c>
      <c r="K637" s="97" t="s">
        <v>94</v>
      </c>
      <c r="L637" s="97" t="s">
        <v>95</v>
      </c>
      <c r="M637" s="97" t="s">
        <v>92</v>
      </c>
      <c r="N637" s="97"/>
      <c r="O637" s="97"/>
      <c r="P637" s="97"/>
    </row>
    <row r="638">
      <c r="A638" s="92">
        <f t="shared" si="1"/>
        <v>5</v>
      </c>
      <c r="B638" s="92">
        <f t="shared" si="2"/>
        <v>6</v>
      </c>
      <c r="C638" s="93">
        <v>43258.0</v>
      </c>
      <c r="D638" s="94" t="s">
        <v>93</v>
      </c>
      <c r="E638" s="94" t="s">
        <v>15</v>
      </c>
      <c r="F638" s="94" t="s">
        <v>93</v>
      </c>
      <c r="G638" s="95">
        <v>100.0</v>
      </c>
      <c r="H638" s="99"/>
      <c r="I638" s="97" t="str">
        <f t="shared" si="3"/>
        <v>Обед (работа)</v>
      </c>
      <c r="J638" s="97" t="s">
        <v>93</v>
      </c>
      <c r="K638" s="97" t="s">
        <v>94</v>
      </c>
      <c r="L638" s="97" t="s">
        <v>95</v>
      </c>
      <c r="M638" s="97" t="s">
        <v>92</v>
      </c>
      <c r="N638" s="97"/>
      <c r="O638" s="97"/>
      <c r="P638" s="97"/>
    </row>
    <row r="639">
      <c r="A639" s="92">
        <f t="shared" si="1"/>
        <v>6</v>
      </c>
      <c r="B639" s="92">
        <f t="shared" si="2"/>
        <v>6</v>
      </c>
      <c r="C639" s="93">
        <v>43259.0</v>
      </c>
      <c r="D639" s="94" t="s">
        <v>80</v>
      </c>
      <c r="E639" s="94" t="s">
        <v>24</v>
      </c>
      <c r="F639" s="94" t="s">
        <v>80</v>
      </c>
      <c r="G639" s="95">
        <v>118.0</v>
      </c>
      <c r="H639" s="99"/>
      <c r="I639" s="97" t="str">
        <f t="shared" si="3"/>
        <v>Такси</v>
      </c>
      <c r="J639" s="97" t="s">
        <v>81</v>
      </c>
      <c r="K639" s="97" t="s">
        <v>82</v>
      </c>
      <c r="L639" s="97" t="s">
        <v>83</v>
      </c>
      <c r="M639" s="97" t="s">
        <v>84</v>
      </c>
      <c r="N639" s="97"/>
      <c r="O639" s="97"/>
      <c r="P639" s="97"/>
    </row>
    <row r="640">
      <c r="A640" s="92">
        <f t="shared" si="1"/>
        <v>6</v>
      </c>
      <c r="B640" s="92">
        <f t="shared" si="2"/>
        <v>6</v>
      </c>
      <c r="C640" s="93">
        <v>43259.0</v>
      </c>
      <c r="D640" s="94" t="s">
        <v>83</v>
      </c>
      <c r="E640" s="94" t="s">
        <v>24</v>
      </c>
      <c r="F640" s="94" t="s">
        <v>83</v>
      </c>
      <c r="G640" s="95">
        <v>44.0</v>
      </c>
      <c r="H640" s="99"/>
      <c r="I640" s="97" t="str">
        <f t="shared" si="3"/>
        <v>Такси</v>
      </c>
      <c r="J640" s="97" t="s">
        <v>81</v>
      </c>
      <c r="K640" s="97" t="s">
        <v>82</v>
      </c>
      <c r="L640" s="97" t="s">
        <v>83</v>
      </c>
      <c r="M640" s="97" t="s">
        <v>84</v>
      </c>
      <c r="N640" s="97"/>
      <c r="O640" s="97"/>
      <c r="P640" s="97"/>
    </row>
    <row r="641">
      <c r="A641" s="92">
        <f t="shared" si="1"/>
        <v>6</v>
      </c>
      <c r="B641" s="92">
        <f t="shared" si="2"/>
        <v>6</v>
      </c>
      <c r="C641" s="93">
        <v>43259.0</v>
      </c>
      <c r="D641" s="94" t="s">
        <v>93</v>
      </c>
      <c r="E641" s="94" t="s">
        <v>15</v>
      </c>
      <c r="F641" s="94" t="s">
        <v>93</v>
      </c>
      <c r="G641" s="95">
        <v>100.0</v>
      </c>
      <c r="H641" s="99"/>
      <c r="I641" s="97" t="str">
        <f t="shared" si="3"/>
        <v>Обед (работа)</v>
      </c>
      <c r="J641" s="97" t="s">
        <v>93</v>
      </c>
      <c r="K641" s="97" t="s">
        <v>94</v>
      </c>
      <c r="L641" s="97" t="s">
        <v>95</v>
      </c>
      <c r="M641" s="97" t="s">
        <v>92</v>
      </c>
      <c r="N641" s="97"/>
      <c r="O641" s="97"/>
      <c r="P641" s="97"/>
    </row>
    <row r="642">
      <c r="A642" s="92">
        <f t="shared" si="1"/>
        <v>6</v>
      </c>
      <c r="B642" s="92">
        <f t="shared" si="2"/>
        <v>6</v>
      </c>
      <c r="C642" s="93">
        <v>43259.0</v>
      </c>
      <c r="D642" s="94" t="s">
        <v>91</v>
      </c>
      <c r="E642" s="94" t="s">
        <v>15</v>
      </c>
      <c r="F642" s="94" t="s">
        <v>117</v>
      </c>
      <c r="G642" s="95">
        <v>450.0</v>
      </c>
      <c r="H642" s="99"/>
      <c r="I642" s="97" t="str">
        <f t="shared" si="3"/>
        <v>Обед (работа)</v>
      </c>
      <c r="J642" s="97" t="s">
        <v>93</v>
      </c>
      <c r="K642" s="97" t="s">
        <v>94</v>
      </c>
      <c r="L642" s="97" t="s">
        <v>95</v>
      </c>
      <c r="M642" s="97" t="s">
        <v>92</v>
      </c>
      <c r="N642" s="97"/>
      <c r="O642" s="97"/>
      <c r="P642" s="97"/>
    </row>
    <row r="643">
      <c r="A643" s="92">
        <f t="shared" si="1"/>
        <v>6</v>
      </c>
      <c r="B643" s="92">
        <f t="shared" si="2"/>
        <v>6</v>
      </c>
      <c r="C643" s="93">
        <v>43259.0</v>
      </c>
      <c r="D643" s="94" t="s">
        <v>159</v>
      </c>
      <c r="E643" s="94" t="s">
        <v>37</v>
      </c>
      <c r="F643" s="100"/>
      <c r="G643" s="95">
        <v>1200.0</v>
      </c>
      <c r="H643" s="99"/>
      <c r="I643" s="97" t="str">
        <f t="shared" si="3"/>
        <v/>
      </c>
      <c r="J643" s="97"/>
      <c r="K643" s="97"/>
      <c r="L643" s="97"/>
      <c r="M643" s="97"/>
      <c r="N643" s="97"/>
      <c r="O643" s="97"/>
      <c r="P643" s="97"/>
    </row>
    <row r="644">
      <c r="A644" s="92">
        <f t="shared" si="1"/>
        <v>6</v>
      </c>
      <c r="B644" s="92">
        <f t="shared" si="2"/>
        <v>6</v>
      </c>
      <c r="C644" s="93">
        <v>43259.0</v>
      </c>
      <c r="D644" s="94" t="s">
        <v>232</v>
      </c>
      <c r="E644" s="94" t="s">
        <v>34</v>
      </c>
      <c r="F644" s="100"/>
      <c r="G644" s="95">
        <v>6000.0</v>
      </c>
      <c r="H644" s="99"/>
      <c r="I644" s="97" t="str">
        <f t="shared" si="3"/>
        <v/>
      </c>
      <c r="J644" s="97"/>
      <c r="K644" s="97"/>
      <c r="L644" s="97"/>
      <c r="M644" s="97"/>
      <c r="N644" s="97"/>
      <c r="O644" s="97"/>
      <c r="P644" s="97"/>
    </row>
    <row r="645">
      <c r="A645" s="92">
        <f t="shared" si="1"/>
        <v>6</v>
      </c>
      <c r="B645" s="92">
        <f t="shared" si="2"/>
        <v>6</v>
      </c>
      <c r="C645" s="93">
        <v>43259.0</v>
      </c>
      <c r="D645" s="94" t="s">
        <v>80</v>
      </c>
      <c r="E645" s="94" t="s">
        <v>24</v>
      </c>
      <c r="F645" s="94" t="s">
        <v>80</v>
      </c>
      <c r="G645" s="95">
        <v>120.0</v>
      </c>
      <c r="H645" s="99"/>
      <c r="I645" s="97" t="str">
        <f t="shared" si="3"/>
        <v>Такси</v>
      </c>
      <c r="J645" s="97" t="s">
        <v>81</v>
      </c>
      <c r="K645" s="97" t="s">
        <v>82</v>
      </c>
      <c r="L645" s="97" t="s">
        <v>83</v>
      </c>
      <c r="M645" s="97" t="s">
        <v>84</v>
      </c>
      <c r="N645" s="97"/>
      <c r="O645" s="97"/>
      <c r="P645" s="97"/>
    </row>
    <row r="646">
      <c r="A646" s="92">
        <f t="shared" si="1"/>
        <v>7</v>
      </c>
      <c r="B646" s="92">
        <f t="shared" si="2"/>
        <v>6</v>
      </c>
      <c r="C646" s="93">
        <v>43260.0</v>
      </c>
      <c r="D646" s="94" t="s">
        <v>80</v>
      </c>
      <c r="E646" s="94" t="s">
        <v>24</v>
      </c>
      <c r="F646" s="94" t="s">
        <v>80</v>
      </c>
      <c r="G646" s="95">
        <v>178.0</v>
      </c>
      <c r="H646" s="99"/>
      <c r="I646" s="97" t="str">
        <f t="shared" si="3"/>
        <v>Такси</v>
      </c>
      <c r="J646" s="97" t="s">
        <v>81</v>
      </c>
      <c r="K646" s="97" t="s">
        <v>82</v>
      </c>
      <c r="L646" s="97" t="s">
        <v>83</v>
      </c>
      <c r="M646" s="97" t="s">
        <v>84</v>
      </c>
      <c r="N646" s="97"/>
      <c r="O646" s="97"/>
      <c r="P646" s="97"/>
    </row>
    <row r="647">
      <c r="A647" s="92">
        <f t="shared" si="1"/>
        <v>7</v>
      </c>
      <c r="B647" s="92">
        <f t="shared" si="2"/>
        <v>6</v>
      </c>
      <c r="C647" s="93">
        <v>43260.0</v>
      </c>
      <c r="D647" s="94" t="s">
        <v>83</v>
      </c>
      <c r="E647" s="94" t="s">
        <v>24</v>
      </c>
      <c r="F647" s="94" t="s">
        <v>83</v>
      </c>
      <c r="G647" s="95">
        <v>44.0</v>
      </c>
      <c r="H647" s="99"/>
      <c r="I647" s="97" t="str">
        <f t="shared" si="3"/>
        <v>Такси</v>
      </c>
      <c r="J647" s="97" t="s">
        <v>81</v>
      </c>
      <c r="K647" s="97" t="s">
        <v>82</v>
      </c>
      <c r="L647" s="97" t="s">
        <v>83</v>
      </c>
      <c r="M647" s="97" t="s">
        <v>84</v>
      </c>
      <c r="N647" s="97"/>
      <c r="O647" s="97"/>
      <c r="P647" s="97"/>
    </row>
    <row r="648">
      <c r="A648" s="92">
        <f t="shared" si="1"/>
        <v>7</v>
      </c>
      <c r="B648" s="92">
        <f t="shared" si="2"/>
        <v>6</v>
      </c>
      <c r="C648" s="93">
        <v>43260.0</v>
      </c>
      <c r="D648" s="94" t="s">
        <v>93</v>
      </c>
      <c r="E648" s="94" t="s">
        <v>15</v>
      </c>
      <c r="F648" s="94" t="s">
        <v>93</v>
      </c>
      <c r="G648" s="95">
        <v>109.0</v>
      </c>
      <c r="H648" s="99"/>
      <c r="I648" s="97" t="str">
        <f t="shared" si="3"/>
        <v>Обед (работа)</v>
      </c>
      <c r="J648" s="97" t="s">
        <v>93</v>
      </c>
      <c r="K648" s="97" t="s">
        <v>94</v>
      </c>
      <c r="L648" s="97" t="s">
        <v>95</v>
      </c>
      <c r="M648" s="97" t="s">
        <v>92</v>
      </c>
      <c r="N648" s="97"/>
      <c r="O648" s="97"/>
      <c r="P648" s="97"/>
    </row>
    <row r="649">
      <c r="A649" s="92">
        <f t="shared" si="1"/>
        <v>7</v>
      </c>
      <c r="B649" s="92">
        <f t="shared" si="2"/>
        <v>6</v>
      </c>
      <c r="C649" s="93">
        <v>43260.0</v>
      </c>
      <c r="D649" s="94" t="s">
        <v>91</v>
      </c>
      <c r="E649" s="94" t="s">
        <v>15</v>
      </c>
      <c r="F649" s="94" t="s">
        <v>117</v>
      </c>
      <c r="G649" s="95">
        <v>525.0</v>
      </c>
      <c r="H649" s="99"/>
      <c r="I649" s="97" t="str">
        <f t="shared" si="3"/>
        <v>Обед (работа)</v>
      </c>
      <c r="J649" s="97" t="s">
        <v>93</v>
      </c>
      <c r="K649" s="97" t="s">
        <v>94</v>
      </c>
      <c r="L649" s="97" t="s">
        <v>95</v>
      </c>
      <c r="M649" s="97" t="s">
        <v>92</v>
      </c>
      <c r="N649" s="97"/>
      <c r="O649" s="97"/>
      <c r="P649" s="97"/>
    </row>
    <row r="650">
      <c r="A650" s="92">
        <f t="shared" si="1"/>
        <v>7</v>
      </c>
      <c r="B650" s="92">
        <f t="shared" si="2"/>
        <v>6</v>
      </c>
      <c r="C650" s="93">
        <v>43260.0</v>
      </c>
      <c r="D650" s="94" t="s">
        <v>118</v>
      </c>
      <c r="E650" s="94" t="s">
        <v>48</v>
      </c>
      <c r="F650" s="100"/>
      <c r="G650" s="95">
        <v>169.0</v>
      </c>
      <c r="H650" s="99"/>
      <c r="I650" s="97" t="str">
        <f t="shared" si="3"/>
        <v/>
      </c>
      <c r="J650" s="97"/>
      <c r="K650" s="97"/>
      <c r="L650" s="97"/>
      <c r="M650" s="97"/>
      <c r="N650" s="97"/>
      <c r="O650" s="97"/>
      <c r="P650" s="97"/>
    </row>
    <row r="651">
      <c r="A651" s="92">
        <f t="shared" si="1"/>
        <v>7</v>
      </c>
      <c r="B651" s="92">
        <f t="shared" si="2"/>
        <v>6</v>
      </c>
      <c r="C651" s="93">
        <v>43260.0</v>
      </c>
      <c r="D651" s="94" t="s">
        <v>93</v>
      </c>
      <c r="E651" s="94" t="s">
        <v>15</v>
      </c>
      <c r="F651" s="94" t="s">
        <v>93</v>
      </c>
      <c r="G651" s="95">
        <v>122.0</v>
      </c>
      <c r="H651" s="99"/>
      <c r="I651" s="97" t="str">
        <f t="shared" si="3"/>
        <v>Обед (работа)</v>
      </c>
      <c r="J651" s="97" t="s">
        <v>93</v>
      </c>
      <c r="K651" s="97" t="s">
        <v>94</v>
      </c>
      <c r="L651" s="97" t="s">
        <v>95</v>
      </c>
      <c r="M651" s="97" t="s">
        <v>92</v>
      </c>
      <c r="N651" s="97"/>
      <c r="O651" s="97"/>
      <c r="P651" s="97"/>
    </row>
    <row r="652">
      <c r="A652" s="92">
        <f t="shared" si="1"/>
        <v>7</v>
      </c>
      <c r="B652" s="92">
        <f t="shared" si="2"/>
        <v>6</v>
      </c>
      <c r="C652" s="93">
        <v>43260.0</v>
      </c>
      <c r="D652" s="94" t="s">
        <v>26</v>
      </c>
      <c r="E652" s="94" t="s">
        <v>26</v>
      </c>
      <c r="F652" s="100"/>
      <c r="G652" s="95">
        <v>100.0</v>
      </c>
      <c r="H652" s="99"/>
      <c r="I652" s="97" t="str">
        <f t="shared" si="3"/>
        <v/>
      </c>
      <c r="J652" s="97"/>
      <c r="K652" s="97"/>
      <c r="L652" s="97"/>
      <c r="M652" s="97"/>
      <c r="N652" s="97"/>
      <c r="O652" s="97"/>
      <c r="P652" s="97"/>
    </row>
    <row r="653">
      <c r="A653" s="92">
        <f t="shared" si="1"/>
        <v>7</v>
      </c>
      <c r="B653" s="92">
        <f t="shared" si="2"/>
        <v>6</v>
      </c>
      <c r="C653" s="93">
        <v>43260.0</v>
      </c>
      <c r="D653" s="94" t="s">
        <v>102</v>
      </c>
      <c r="E653" s="94" t="s">
        <v>21</v>
      </c>
      <c r="F653" s="94" t="s">
        <v>102</v>
      </c>
      <c r="G653" s="95">
        <v>700.0</v>
      </c>
      <c r="H653" s="99"/>
      <c r="I653" s="97" t="str">
        <f t="shared" si="3"/>
        <v>Вино</v>
      </c>
      <c r="J653" s="97" t="s">
        <v>97</v>
      </c>
      <c r="K653" s="97" t="s">
        <v>98</v>
      </c>
      <c r="L653" s="97" t="s">
        <v>99</v>
      </c>
      <c r="M653" s="97" t="s">
        <v>100</v>
      </c>
      <c r="N653" s="97"/>
      <c r="O653" s="97"/>
      <c r="P653" s="97"/>
    </row>
    <row r="654">
      <c r="A654" s="92">
        <f t="shared" si="1"/>
        <v>1</v>
      </c>
      <c r="B654" s="92">
        <f t="shared" si="2"/>
        <v>6</v>
      </c>
      <c r="C654" s="93">
        <v>43261.0</v>
      </c>
      <c r="D654" s="94" t="s">
        <v>80</v>
      </c>
      <c r="E654" s="94" t="s">
        <v>24</v>
      </c>
      <c r="F654" s="94" t="s">
        <v>80</v>
      </c>
      <c r="G654" s="95">
        <v>501.0</v>
      </c>
      <c r="H654" s="99"/>
      <c r="I654" s="97" t="str">
        <f t="shared" si="3"/>
        <v>Такси</v>
      </c>
      <c r="J654" s="97" t="s">
        <v>81</v>
      </c>
      <c r="K654" s="97" t="s">
        <v>82</v>
      </c>
      <c r="L654" s="97" t="s">
        <v>83</v>
      </c>
      <c r="M654" s="97" t="s">
        <v>84</v>
      </c>
      <c r="N654" s="97"/>
      <c r="O654" s="97"/>
      <c r="P654" s="97"/>
    </row>
    <row r="655">
      <c r="A655" s="92">
        <f t="shared" si="1"/>
        <v>1</v>
      </c>
      <c r="B655" s="92">
        <f t="shared" si="2"/>
        <v>6</v>
      </c>
      <c r="C655" s="93">
        <v>43261.0</v>
      </c>
      <c r="D655" s="94" t="s">
        <v>201</v>
      </c>
      <c r="E655" s="94" t="s">
        <v>37</v>
      </c>
      <c r="F655" s="100"/>
      <c r="G655" s="95">
        <v>1600.0</v>
      </c>
      <c r="H655" s="99"/>
      <c r="I655" s="97" t="str">
        <f t="shared" si="3"/>
        <v/>
      </c>
      <c r="J655" s="97"/>
      <c r="K655" s="97"/>
      <c r="L655" s="97"/>
      <c r="M655" s="97"/>
      <c r="N655" s="97"/>
      <c r="O655" s="97"/>
      <c r="P655" s="97"/>
    </row>
    <row r="656">
      <c r="A656" s="92">
        <f t="shared" si="1"/>
        <v>1</v>
      </c>
      <c r="B656" s="92">
        <f t="shared" si="2"/>
        <v>6</v>
      </c>
      <c r="C656" s="93">
        <v>43261.0</v>
      </c>
      <c r="D656" s="94" t="s">
        <v>102</v>
      </c>
      <c r="E656" s="94" t="s">
        <v>21</v>
      </c>
      <c r="F656" s="94" t="s">
        <v>102</v>
      </c>
      <c r="G656" s="95">
        <v>499.0</v>
      </c>
      <c r="H656" s="99"/>
      <c r="I656" s="97" t="str">
        <f t="shared" si="3"/>
        <v>Вино</v>
      </c>
      <c r="J656" s="97" t="s">
        <v>97</v>
      </c>
      <c r="K656" s="97" t="s">
        <v>98</v>
      </c>
      <c r="L656" s="97" t="s">
        <v>99</v>
      </c>
      <c r="M656" s="97" t="s">
        <v>100</v>
      </c>
      <c r="N656" s="97"/>
      <c r="O656" s="97"/>
      <c r="P656" s="97"/>
    </row>
    <row r="657">
      <c r="A657" s="92">
        <f t="shared" si="1"/>
        <v>1</v>
      </c>
      <c r="B657" s="92">
        <f t="shared" si="2"/>
        <v>6</v>
      </c>
      <c r="C657" s="93">
        <v>43261.0</v>
      </c>
      <c r="D657" s="94" t="s">
        <v>216</v>
      </c>
      <c r="E657" s="94" t="s">
        <v>21</v>
      </c>
      <c r="F657" s="94" t="s">
        <v>100</v>
      </c>
      <c r="G657" s="95">
        <v>1300.0</v>
      </c>
      <c r="H657" s="99"/>
      <c r="I657" s="97" t="str">
        <f t="shared" si="3"/>
        <v>Вино</v>
      </c>
      <c r="J657" s="97" t="s">
        <v>97</v>
      </c>
      <c r="K657" s="97" t="s">
        <v>98</v>
      </c>
      <c r="L657" s="97" t="s">
        <v>99</v>
      </c>
      <c r="M657" s="97" t="s">
        <v>100</v>
      </c>
      <c r="N657" s="97"/>
      <c r="O657" s="97"/>
      <c r="P657" s="97"/>
    </row>
    <row r="658">
      <c r="A658" s="92">
        <f t="shared" si="1"/>
        <v>1</v>
      </c>
      <c r="B658" s="92">
        <f t="shared" si="2"/>
        <v>6</v>
      </c>
      <c r="C658" s="93">
        <v>43261.0</v>
      </c>
      <c r="D658" s="94" t="s">
        <v>254</v>
      </c>
      <c r="E658" s="94" t="s">
        <v>37</v>
      </c>
      <c r="F658" s="100"/>
      <c r="G658" s="95">
        <v>6000.0</v>
      </c>
      <c r="H658" s="99"/>
      <c r="I658" s="97" t="str">
        <f t="shared" si="3"/>
        <v/>
      </c>
      <c r="J658" s="97"/>
      <c r="K658" s="97"/>
      <c r="L658" s="97"/>
      <c r="M658" s="97"/>
      <c r="N658" s="97"/>
      <c r="O658" s="97"/>
      <c r="P658" s="97"/>
    </row>
    <row r="659">
      <c r="A659" s="92">
        <f t="shared" si="1"/>
        <v>2</v>
      </c>
      <c r="B659" s="92">
        <f t="shared" si="2"/>
        <v>6</v>
      </c>
      <c r="C659" s="93">
        <v>43262.0</v>
      </c>
      <c r="D659" s="94" t="s">
        <v>80</v>
      </c>
      <c r="E659" s="94" t="s">
        <v>24</v>
      </c>
      <c r="F659" s="94" t="s">
        <v>80</v>
      </c>
      <c r="G659" s="95">
        <v>160.0</v>
      </c>
      <c r="H659" s="99"/>
      <c r="I659" s="97" t="str">
        <f t="shared" si="3"/>
        <v>Такси</v>
      </c>
      <c r="J659" s="97" t="s">
        <v>81</v>
      </c>
      <c r="K659" s="97" t="s">
        <v>82</v>
      </c>
      <c r="L659" s="97" t="s">
        <v>83</v>
      </c>
      <c r="M659" s="97" t="s">
        <v>84</v>
      </c>
      <c r="N659" s="97"/>
      <c r="O659" s="97"/>
      <c r="P659" s="97"/>
    </row>
    <row r="660">
      <c r="A660" s="92">
        <f t="shared" si="1"/>
        <v>2</v>
      </c>
      <c r="B660" s="92">
        <f t="shared" si="2"/>
        <v>6</v>
      </c>
      <c r="C660" s="93">
        <v>43262.0</v>
      </c>
      <c r="D660" s="94" t="s">
        <v>102</v>
      </c>
      <c r="E660" s="94" t="s">
        <v>21</v>
      </c>
      <c r="F660" s="94" t="s">
        <v>102</v>
      </c>
      <c r="G660" s="95">
        <v>671.0</v>
      </c>
      <c r="H660" s="99"/>
      <c r="I660" s="97" t="str">
        <f t="shared" si="3"/>
        <v>Вино</v>
      </c>
      <c r="J660" s="97" t="s">
        <v>97</v>
      </c>
      <c r="K660" s="97" t="s">
        <v>98</v>
      </c>
      <c r="L660" s="97" t="s">
        <v>99</v>
      </c>
      <c r="M660" s="97" t="s">
        <v>100</v>
      </c>
      <c r="N660" s="97"/>
      <c r="O660" s="97"/>
      <c r="P660" s="97"/>
    </row>
    <row r="661">
      <c r="A661" s="92">
        <f t="shared" si="1"/>
        <v>2</v>
      </c>
      <c r="B661" s="92">
        <f t="shared" si="2"/>
        <v>6</v>
      </c>
      <c r="C661" s="93">
        <v>43262.0</v>
      </c>
      <c r="D661" s="94" t="s">
        <v>80</v>
      </c>
      <c r="E661" s="94" t="s">
        <v>24</v>
      </c>
      <c r="F661" s="94" t="s">
        <v>80</v>
      </c>
      <c r="G661" s="95">
        <v>144.0</v>
      </c>
      <c r="H661" s="99"/>
      <c r="I661" s="97" t="str">
        <f t="shared" si="3"/>
        <v>Такси</v>
      </c>
      <c r="J661" s="97" t="s">
        <v>81</v>
      </c>
      <c r="K661" s="97" t="s">
        <v>82</v>
      </c>
      <c r="L661" s="97" t="s">
        <v>83</v>
      </c>
      <c r="M661" s="97" t="s">
        <v>84</v>
      </c>
      <c r="N661" s="97"/>
      <c r="O661" s="97"/>
      <c r="P661" s="97"/>
    </row>
    <row r="662">
      <c r="A662" s="92">
        <f t="shared" si="1"/>
        <v>2</v>
      </c>
      <c r="B662" s="92">
        <f t="shared" si="2"/>
        <v>6</v>
      </c>
      <c r="C662" s="93">
        <v>43262.0</v>
      </c>
      <c r="D662" s="94" t="s">
        <v>102</v>
      </c>
      <c r="E662" s="94" t="s">
        <v>21</v>
      </c>
      <c r="F662" s="94" t="s">
        <v>102</v>
      </c>
      <c r="G662" s="95">
        <v>800.0</v>
      </c>
      <c r="H662" s="99"/>
      <c r="I662" s="97" t="str">
        <f t="shared" si="3"/>
        <v>Вино</v>
      </c>
      <c r="J662" s="97" t="s">
        <v>97</v>
      </c>
      <c r="K662" s="97" t="s">
        <v>98</v>
      </c>
      <c r="L662" s="97" t="s">
        <v>99</v>
      </c>
      <c r="M662" s="97" t="s">
        <v>100</v>
      </c>
      <c r="N662" s="97"/>
      <c r="O662" s="97"/>
      <c r="P662" s="97"/>
    </row>
    <row r="663">
      <c r="A663" s="92">
        <f t="shared" si="1"/>
        <v>2</v>
      </c>
      <c r="B663" s="92">
        <f t="shared" si="2"/>
        <v>6</v>
      </c>
      <c r="C663" s="93">
        <v>43262.0</v>
      </c>
      <c r="D663" s="94" t="s">
        <v>230</v>
      </c>
      <c r="E663" s="94" t="s">
        <v>37</v>
      </c>
      <c r="F663" s="100"/>
      <c r="G663" s="95">
        <v>650.0</v>
      </c>
      <c r="H663" s="99"/>
      <c r="I663" s="97" t="str">
        <f t="shared" si="3"/>
        <v/>
      </c>
      <c r="J663" s="97"/>
      <c r="K663" s="97"/>
      <c r="L663" s="97"/>
      <c r="M663" s="97"/>
      <c r="N663" s="97"/>
      <c r="O663" s="97"/>
      <c r="P663" s="97"/>
    </row>
    <row r="664">
      <c r="A664" s="92">
        <f t="shared" si="1"/>
        <v>2</v>
      </c>
      <c r="B664" s="92">
        <f t="shared" si="2"/>
        <v>6</v>
      </c>
      <c r="C664" s="93">
        <v>43262.0</v>
      </c>
      <c r="D664" s="94" t="s">
        <v>26</v>
      </c>
      <c r="E664" s="94" t="s">
        <v>26</v>
      </c>
      <c r="F664" s="100"/>
      <c r="G664" s="95">
        <v>795.0</v>
      </c>
      <c r="H664" s="99"/>
      <c r="I664" s="97" t="str">
        <f t="shared" si="3"/>
        <v/>
      </c>
      <c r="J664" s="97"/>
      <c r="K664" s="97"/>
      <c r="L664" s="97"/>
      <c r="M664" s="97"/>
      <c r="N664" s="97"/>
      <c r="O664" s="97"/>
      <c r="P664" s="97"/>
    </row>
    <row r="665">
      <c r="A665" s="92">
        <f t="shared" si="1"/>
        <v>3</v>
      </c>
      <c r="B665" s="92">
        <f t="shared" si="2"/>
        <v>6</v>
      </c>
      <c r="C665" s="93">
        <v>43263.0</v>
      </c>
      <c r="D665" s="94" t="s">
        <v>43</v>
      </c>
      <c r="E665" s="94" t="s">
        <v>43</v>
      </c>
      <c r="F665" s="100"/>
      <c r="G665" s="95">
        <v>100.0</v>
      </c>
      <c r="H665" s="99"/>
      <c r="I665" s="97" t="str">
        <f t="shared" si="3"/>
        <v/>
      </c>
      <c r="J665" s="97"/>
      <c r="K665" s="97"/>
      <c r="L665" s="97"/>
      <c r="M665" s="97"/>
      <c r="N665" s="97"/>
      <c r="O665" s="97"/>
      <c r="P665" s="97"/>
    </row>
    <row r="666">
      <c r="A666" s="92">
        <f t="shared" si="1"/>
        <v>3</v>
      </c>
      <c r="B666" s="92">
        <f t="shared" si="2"/>
        <v>6</v>
      </c>
      <c r="C666" s="93">
        <v>43263.0</v>
      </c>
      <c r="D666" s="94" t="s">
        <v>255</v>
      </c>
      <c r="E666" s="94" t="s">
        <v>30</v>
      </c>
      <c r="F666" s="94" t="s">
        <v>86</v>
      </c>
      <c r="G666" s="95">
        <v>500.0</v>
      </c>
      <c r="H666" s="99"/>
      <c r="I666" s="97" t="str">
        <f t="shared" si="3"/>
        <v>Бар</v>
      </c>
      <c r="J666" s="97" t="s">
        <v>87</v>
      </c>
      <c r="K666" s="97" t="s">
        <v>88</v>
      </c>
      <c r="L666" s="97" t="s">
        <v>89</v>
      </c>
      <c r="M666" s="97" t="s">
        <v>90</v>
      </c>
      <c r="N666" s="97"/>
      <c r="O666" s="97"/>
      <c r="P666" s="97"/>
    </row>
    <row r="667">
      <c r="A667" s="92">
        <f t="shared" si="1"/>
        <v>3</v>
      </c>
      <c r="B667" s="92">
        <f t="shared" si="2"/>
        <v>6</v>
      </c>
      <c r="C667" s="93">
        <v>43263.0</v>
      </c>
      <c r="D667" s="94" t="s">
        <v>256</v>
      </c>
      <c r="E667" s="94" t="s">
        <v>30</v>
      </c>
      <c r="F667" s="94" t="s">
        <v>88</v>
      </c>
      <c r="G667" s="95">
        <v>700.0</v>
      </c>
      <c r="H667" s="99"/>
      <c r="I667" s="97" t="str">
        <f t="shared" si="3"/>
        <v>Бар</v>
      </c>
      <c r="J667" s="97" t="s">
        <v>87</v>
      </c>
      <c r="K667" s="97" t="s">
        <v>88</v>
      </c>
      <c r="L667" s="97" t="s">
        <v>89</v>
      </c>
      <c r="M667" s="97" t="s">
        <v>90</v>
      </c>
      <c r="N667" s="97"/>
      <c r="O667" s="97"/>
      <c r="P667" s="97"/>
    </row>
    <row r="668">
      <c r="A668" s="92">
        <f t="shared" si="1"/>
        <v>3</v>
      </c>
      <c r="B668" s="92">
        <f t="shared" si="2"/>
        <v>6</v>
      </c>
      <c r="C668" s="93">
        <v>43263.0</v>
      </c>
      <c r="D668" s="94" t="s">
        <v>140</v>
      </c>
      <c r="E668" s="94" t="s">
        <v>18</v>
      </c>
      <c r="F668" s="94" t="s">
        <v>116</v>
      </c>
      <c r="G668" s="95">
        <v>750.0</v>
      </c>
      <c r="H668" s="99"/>
      <c r="I668" s="97" t="str">
        <f t="shared" si="3"/>
        <v>Родственники</v>
      </c>
      <c r="J668" s="97" t="s">
        <v>116</v>
      </c>
      <c r="K668" s="97" t="s">
        <v>115</v>
      </c>
      <c r="L668" s="97"/>
      <c r="M668" s="97"/>
      <c r="N668" s="97"/>
      <c r="O668" s="97"/>
      <c r="P668" s="97"/>
    </row>
    <row r="669">
      <c r="A669" s="92">
        <f t="shared" si="1"/>
        <v>3</v>
      </c>
      <c r="B669" s="92">
        <f t="shared" si="2"/>
        <v>6</v>
      </c>
      <c r="C669" s="93">
        <v>43263.0</v>
      </c>
      <c r="D669" s="94" t="s">
        <v>86</v>
      </c>
      <c r="E669" s="94" t="s">
        <v>30</v>
      </c>
      <c r="F669" s="94" t="s">
        <v>86</v>
      </c>
      <c r="G669" s="95">
        <v>1500.0</v>
      </c>
      <c r="H669" s="99"/>
      <c r="I669" s="97" t="str">
        <f t="shared" si="3"/>
        <v>Бар</v>
      </c>
      <c r="J669" s="97" t="s">
        <v>87</v>
      </c>
      <c r="K669" s="97" t="s">
        <v>88</v>
      </c>
      <c r="L669" s="97" t="s">
        <v>89</v>
      </c>
      <c r="M669" s="97" t="s">
        <v>90</v>
      </c>
      <c r="N669" s="97"/>
      <c r="O669" s="97"/>
      <c r="P669" s="97"/>
    </row>
    <row r="670">
      <c r="A670" s="92">
        <f t="shared" si="1"/>
        <v>3</v>
      </c>
      <c r="B670" s="92">
        <f t="shared" si="2"/>
        <v>6</v>
      </c>
      <c r="C670" s="93">
        <v>43263.0</v>
      </c>
      <c r="D670" s="94" t="s">
        <v>80</v>
      </c>
      <c r="E670" s="94" t="s">
        <v>24</v>
      </c>
      <c r="F670" s="94" t="s">
        <v>80</v>
      </c>
      <c r="G670" s="95">
        <v>100.0</v>
      </c>
      <c r="H670" s="99"/>
      <c r="I670" s="97" t="str">
        <f t="shared" si="3"/>
        <v>Такси</v>
      </c>
      <c r="J670" s="97" t="s">
        <v>81</v>
      </c>
      <c r="K670" s="97" t="s">
        <v>82</v>
      </c>
      <c r="L670" s="97" t="s">
        <v>83</v>
      </c>
      <c r="M670" s="97" t="s">
        <v>84</v>
      </c>
      <c r="N670" s="97"/>
      <c r="O670" s="97"/>
      <c r="P670" s="97"/>
    </row>
    <row r="671">
      <c r="A671" s="92">
        <f t="shared" si="1"/>
        <v>4</v>
      </c>
      <c r="B671" s="92">
        <f t="shared" si="2"/>
        <v>6</v>
      </c>
      <c r="C671" s="93">
        <v>43264.0</v>
      </c>
      <c r="D671" s="94" t="s">
        <v>83</v>
      </c>
      <c r="E671" s="94" t="s">
        <v>24</v>
      </c>
      <c r="F671" s="94" t="s">
        <v>83</v>
      </c>
      <c r="G671" s="95">
        <v>88.0</v>
      </c>
      <c r="H671" s="99"/>
      <c r="I671" s="97" t="str">
        <f t="shared" si="3"/>
        <v>Такси</v>
      </c>
      <c r="J671" s="97" t="s">
        <v>81</v>
      </c>
      <c r="K671" s="97" t="s">
        <v>82</v>
      </c>
      <c r="L671" s="97" t="s">
        <v>83</v>
      </c>
      <c r="M671" s="97" t="s">
        <v>84</v>
      </c>
      <c r="N671" s="97"/>
      <c r="O671" s="97"/>
      <c r="P671" s="97"/>
    </row>
    <row r="672">
      <c r="A672" s="92">
        <f t="shared" si="1"/>
        <v>4</v>
      </c>
      <c r="B672" s="92">
        <f t="shared" si="2"/>
        <v>6</v>
      </c>
      <c r="C672" s="93">
        <v>43264.0</v>
      </c>
      <c r="D672" s="94" t="s">
        <v>91</v>
      </c>
      <c r="E672" s="94" t="s">
        <v>15</v>
      </c>
      <c r="F672" s="94" t="s">
        <v>117</v>
      </c>
      <c r="G672" s="95">
        <v>316.0</v>
      </c>
      <c r="H672" s="99"/>
      <c r="I672" s="97" t="str">
        <f t="shared" si="3"/>
        <v>Обед (работа)</v>
      </c>
      <c r="J672" s="97" t="s">
        <v>93</v>
      </c>
      <c r="K672" s="97" t="s">
        <v>94</v>
      </c>
      <c r="L672" s="97" t="s">
        <v>95</v>
      </c>
      <c r="M672" s="97" t="s">
        <v>92</v>
      </c>
      <c r="N672" s="97"/>
      <c r="O672" s="97"/>
      <c r="P672" s="97"/>
    </row>
    <row r="673">
      <c r="A673" s="92">
        <f t="shared" si="1"/>
        <v>4</v>
      </c>
      <c r="B673" s="92">
        <f t="shared" si="2"/>
        <v>6</v>
      </c>
      <c r="C673" s="93">
        <v>43264.0</v>
      </c>
      <c r="D673" s="94" t="s">
        <v>80</v>
      </c>
      <c r="E673" s="94" t="s">
        <v>24</v>
      </c>
      <c r="F673" s="94" t="s">
        <v>80</v>
      </c>
      <c r="G673" s="95">
        <v>122.0</v>
      </c>
      <c r="H673" s="99"/>
      <c r="I673" s="97" t="str">
        <f t="shared" si="3"/>
        <v>Такси</v>
      </c>
      <c r="J673" s="97" t="s">
        <v>81</v>
      </c>
      <c r="K673" s="97" t="s">
        <v>82</v>
      </c>
      <c r="L673" s="97" t="s">
        <v>83</v>
      </c>
      <c r="M673" s="97" t="s">
        <v>84</v>
      </c>
      <c r="N673" s="97"/>
      <c r="O673" s="97"/>
      <c r="P673" s="97"/>
    </row>
    <row r="674">
      <c r="A674" s="92">
        <f t="shared" si="1"/>
        <v>4</v>
      </c>
      <c r="B674" s="92">
        <f t="shared" si="2"/>
        <v>6</v>
      </c>
      <c r="C674" s="93">
        <v>43264.0</v>
      </c>
      <c r="D674" s="94" t="s">
        <v>257</v>
      </c>
      <c r="E674" s="94" t="s">
        <v>34</v>
      </c>
      <c r="F674" s="100"/>
      <c r="G674" s="95">
        <v>2000.0</v>
      </c>
      <c r="H674" s="99"/>
      <c r="I674" s="97" t="str">
        <f t="shared" si="3"/>
        <v/>
      </c>
      <c r="J674" s="97"/>
      <c r="K674" s="97"/>
      <c r="L674" s="97"/>
      <c r="M674" s="97"/>
      <c r="N674" s="97"/>
      <c r="O674" s="97"/>
      <c r="P674" s="97"/>
    </row>
    <row r="675">
      <c r="A675" s="92">
        <f t="shared" si="1"/>
        <v>5</v>
      </c>
      <c r="B675" s="92">
        <f t="shared" si="2"/>
        <v>6</v>
      </c>
      <c r="C675" s="93">
        <v>43265.0</v>
      </c>
      <c r="D675" s="94" t="s">
        <v>83</v>
      </c>
      <c r="E675" s="94" t="s">
        <v>24</v>
      </c>
      <c r="F675" s="94" t="s">
        <v>83</v>
      </c>
      <c r="G675" s="95">
        <v>44.0</v>
      </c>
      <c r="H675" s="99"/>
      <c r="I675" s="97" t="str">
        <f t="shared" si="3"/>
        <v>Такси</v>
      </c>
      <c r="J675" s="97" t="s">
        <v>81</v>
      </c>
      <c r="K675" s="97" t="s">
        <v>82</v>
      </c>
      <c r="L675" s="97" t="s">
        <v>83</v>
      </c>
      <c r="M675" s="97" t="s">
        <v>84</v>
      </c>
      <c r="N675" s="97"/>
      <c r="O675" s="97"/>
      <c r="P675" s="97"/>
    </row>
    <row r="676">
      <c r="A676" s="92">
        <f t="shared" si="1"/>
        <v>5</v>
      </c>
      <c r="B676" s="92">
        <f t="shared" si="2"/>
        <v>6</v>
      </c>
      <c r="C676" s="93">
        <v>43265.0</v>
      </c>
      <c r="D676" s="94" t="s">
        <v>91</v>
      </c>
      <c r="E676" s="94" t="s">
        <v>15</v>
      </c>
      <c r="F676" s="94" t="s">
        <v>117</v>
      </c>
      <c r="G676" s="95">
        <v>380.0</v>
      </c>
      <c r="H676" s="99"/>
      <c r="I676" s="97" t="str">
        <f t="shared" si="3"/>
        <v>Обед (работа)</v>
      </c>
      <c r="J676" s="97" t="s">
        <v>93</v>
      </c>
      <c r="K676" s="97" t="s">
        <v>94</v>
      </c>
      <c r="L676" s="97" t="s">
        <v>95</v>
      </c>
      <c r="M676" s="97" t="s">
        <v>92</v>
      </c>
      <c r="N676" s="97"/>
      <c r="O676" s="97"/>
      <c r="P676" s="97"/>
    </row>
    <row r="677">
      <c r="A677" s="92">
        <f t="shared" si="1"/>
        <v>5</v>
      </c>
      <c r="B677" s="92">
        <f t="shared" si="2"/>
        <v>6</v>
      </c>
      <c r="C677" s="93">
        <v>43265.0</v>
      </c>
      <c r="D677" s="94" t="s">
        <v>80</v>
      </c>
      <c r="E677" s="94" t="s">
        <v>24</v>
      </c>
      <c r="F677" s="94" t="s">
        <v>80</v>
      </c>
      <c r="G677" s="95">
        <v>122.0</v>
      </c>
      <c r="H677" s="99"/>
      <c r="I677" s="97" t="str">
        <f t="shared" si="3"/>
        <v>Такси</v>
      </c>
      <c r="J677" s="97" t="s">
        <v>81</v>
      </c>
      <c r="K677" s="97" t="s">
        <v>82</v>
      </c>
      <c r="L677" s="97" t="s">
        <v>83</v>
      </c>
      <c r="M677" s="97" t="s">
        <v>84</v>
      </c>
      <c r="N677" s="97"/>
      <c r="O677" s="97"/>
      <c r="P677" s="97"/>
    </row>
    <row r="678">
      <c r="A678" s="92">
        <f t="shared" si="1"/>
        <v>5</v>
      </c>
      <c r="B678" s="92">
        <f t="shared" si="2"/>
        <v>6</v>
      </c>
      <c r="C678" s="93">
        <v>43265.0</v>
      </c>
      <c r="D678" s="94" t="s">
        <v>154</v>
      </c>
      <c r="E678" s="94" t="s">
        <v>37</v>
      </c>
      <c r="F678" s="100"/>
      <c r="G678" s="95">
        <v>279.0</v>
      </c>
      <c r="H678" s="99"/>
      <c r="I678" s="97" t="str">
        <f t="shared" si="3"/>
        <v/>
      </c>
      <c r="J678" s="97"/>
      <c r="K678" s="97"/>
      <c r="L678" s="97"/>
      <c r="M678" s="97"/>
      <c r="N678" s="97"/>
      <c r="O678" s="97"/>
      <c r="P678" s="97"/>
    </row>
    <row r="679">
      <c r="A679" s="92">
        <f t="shared" si="1"/>
        <v>6</v>
      </c>
      <c r="B679" s="92">
        <f t="shared" si="2"/>
        <v>6</v>
      </c>
      <c r="C679" s="93">
        <v>43266.0</v>
      </c>
      <c r="D679" s="94" t="s">
        <v>91</v>
      </c>
      <c r="E679" s="94" t="s">
        <v>15</v>
      </c>
      <c r="F679" s="94" t="s">
        <v>117</v>
      </c>
      <c r="G679" s="95">
        <v>88.0</v>
      </c>
      <c r="H679" s="99"/>
      <c r="I679" s="97" t="str">
        <f t="shared" si="3"/>
        <v>Обед (работа)</v>
      </c>
      <c r="J679" s="97" t="s">
        <v>93</v>
      </c>
      <c r="K679" s="97" t="s">
        <v>94</v>
      </c>
      <c r="L679" s="97" t="s">
        <v>95</v>
      </c>
      <c r="M679" s="97" t="s">
        <v>92</v>
      </c>
      <c r="N679" s="97"/>
      <c r="O679" s="97"/>
      <c r="P679" s="97"/>
    </row>
    <row r="680">
      <c r="A680" s="92">
        <f t="shared" si="1"/>
        <v>6</v>
      </c>
      <c r="B680" s="92">
        <f t="shared" si="2"/>
        <v>6</v>
      </c>
      <c r="C680" s="93">
        <v>43266.0</v>
      </c>
      <c r="D680" s="94" t="s">
        <v>135</v>
      </c>
      <c r="E680" s="94" t="s">
        <v>18</v>
      </c>
      <c r="F680" s="94" t="s">
        <v>115</v>
      </c>
      <c r="G680" s="95">
        <v>300.0</v>
      </c>
      <c r="H680" s="99"/>
      <c r="I680" s="97" t="str">
        <f t="shared" si="3"/>
        <v>Родственники</v>
      </c>
      <c r="J680" s="97" t="s">
        <v>116</v>
      </c>
      <c r="K680" s="97" t="s">
        <v>115</v>
      </c>
      <c r="L680" s="97"/>
      <c r="M680" s="97"/>
      <c r="N680" s="97"/>
      <c r="O680" s="97"/>
      <c r="P680" s="97"/>
    </row>
    <row r="681">
      <c r="A681" s="92">
        <f t="shared" si="1"/>
        <v>6</v>
      </c>
      <c r="B681" s="92">
        <f t="shared" si="2"/>
        <v>6</v>
      </c>
      <c r="C681" s="93">
        <v>43266.0</v>
      </c>
      <c r="D681" s="94" t="s">
        <v>91</v>
      </c>
      <c r="E681" s="94" t="s">
        <v>15</v>
      </c>
      <c r="F681" s="94" t="s">
        <v>117</v>
      </c>
      <c r="G681" s="95">
        <v>357.0</v>
      </c>
      <c r="H681" s="99"/>
      <c r="I681" s="97" t="str">
        <f t="shared" si="3"/>
        <v>Обед (работа)</v>
      </c>
      <c r="J681" s="97" t="s">
        <v>93</v>
      </c>
      <c r="K681" s="97" t="s">
        <v>94</v>
      </c>
      <c r="L681" s="97" t="s">
        <v>95</v>
      </c>
      <c r="M681" s="97" t="s">
        <v>92</v>
      </c>
      <c r="N681" s="97"/>
      <c r="O681" s="97"/>
      <c r="P681" s="97"/>
    </row>
    <row r="682">
      <c r="A682" s="92">
        <f t="shared" si="1"/>
        <v>6</v>
      </c>
      <c r="B682" s="92">
        <f t="shared" si="2"/>
        <v>6</v>
      </c>
      <c r="C682" s="93">
        <v>43266.0</v>
      </c>
      <c r="D682" s="94" t="s">
        <v>224</v>
      </c>
      <c r="E682" s="94" t="s">
        <v>15</v>
      </c>
      <c r="F682" s="94" t="s">
        <v>95</v>
      </c>
      <c r="G682" s="95">
        <v>125.0</v>
      </c>
      <c r="H682" s="99"/>
      <c r="I682" s="97" t="str">
        <f t="shared" si="3"/>
        <v>Обед (работа)</v>
      </c>
      <c r="J682" s="97" t="s">
        <v>93</v>
      </c>
      <c r="K682" s="97" t="s">
        <v>94</v>
      </c>
      <c r="L682" s="97" t="s">
        <v>95</v>
      </c>
      <c r="M682" s="97" t="s">
        <v>92</v>
      </c>
      <c r="N682" s="97"/>
      <c r="O682" s="97"/>
      <c r="P682" s="97"/>
    </row>
    <row r="683">
      <c r="A683" s="92">
        <f t="shared" si="1"/>
        <v>6</v>
      </c>
      <c r="B683" s="92">
        <f t="shared" si="2"/>
        <v>6</v>
      </c>
      <c r="C683" s="93">
        <v>43266.0</v>
      </c>
      <c r="D683" s="94" t="s">
        <v>258</v>
      </c>
      <c r="E683" s="94" t="s">
        <v>34</v>
      </c>
      <c r="F683" s="100"/>
      <c r="G683" s="95">
        <v>1600.0</v>
      </c>
      <c r="H683" s="99"/>
      <c r="I683" s="97" t="str">
        <f t="shared" si="3"/>
        <v/>
      </c>
      <c r="J683" s="97"/>
      <c r="K683" s="97"/>
      <c r="L683" s="97"/>
      <c r="M683" s="97"/>
      <c r="N683" s="97"/>
      <c r="O683" s="97"/>
      <c r="P683" s="97"/>
    </row>
    <row r="684">
      <c r="A684" s="92">
        <f t="shared" si="1"/>
        <v>6</v>
      </c>
      <c r="B684" s="92">
        <f t="shared" si="2"/>
        <v>6</v>
      </c>
      <c r="C684" s="93">
        <v>43266.0</v>
      </c>
      <c r="D684" s="94" t="s">
        <v>140</v>
      </c>
      <c r="E684" s="94" t="s">
        <v>18</v>
      </c>
      <c r="F684" s="94" t="s">
        <v>116</v>
      </c>
      <c r="G684" s="95">
        <v>1500.0</v>
      </c>
      <c r="H684" s="99"/>
      <c r="I684" s="97" t="str">
        <f t="shared" si="3"/>
        <v>Родственники</v>
      </c>
      <c r="J684" s="97" t="s">
        <v>116</v>
      </c>
      <c r="K684" s="97" t="s">
        <v>115</v>
      </c>
      <c r="L684" s="97"/>
      <c r="M684" s="97"/>
      <c r="N684" s="97"/>
      <c r="O684" s="97"/>
      <c r="P684" s="97"/>
    </row>
    <row r="685">
      <c r="A685" s="92">
        <f t="shared" si="1"/>
        <v>6</v>
      </c>
      <c r="B685" s="92">
        <f t="shared" si="2"/>
        <v>6</v>
      </c>
      <c r="C685" s="93">
        <v>43266.0</v>
      </c>
      <c r="D685" s="94" t="s">
        <v>171</v>
      </c>
      <c r="E685" s="94" t="s">
        <v>18</v>
      </c>
      <c r="F685" s="94" t="s">
        <v>116</v>
      </c>
      <c r="G685" s="95">
        <v>2000.0</v>
      </c>
      <c r="H685" s="99"/>
      <c r="I685" s="97" t="str">
        <f t="shared" si="3"/>
        <v>Родственники</v>
      </c>
      <c r="J685" s="97" t="s">
        <v>116</v>
      </c>
      <c r="K685" s="97" t="s">
        <v>115</v>
      </c>
      <c r="L685" s="97"/>
      <c r="M685" s="97"/>
      <c r="N685" s="97"/>
      <c r="O685" s="97"/>
      <c r="P685" s="97"/>
    </row>
    <row r="686">
      <c r="A686" s="92">
        <f t="shared" si="1"/>
        <v>7</v>
      </c>
      <c r="B686" s="92">
        <f t="shared" si="2"/>
        <v>6</v>
      </c>
      <c r="C686" s="93">
        <v>43267.0</v>
      </c>
      <c r="D686" s="94" t="s">
        <v>93</v>
      </c>
      <c r="E686" s="94" t="s">
        <v>15</v>
      </c>
      <c r="F686" s="94" t="s">
        <v>92</v>
      </c>
      <c r="G686" s="95">
        <v>239.0</v>
      </c>
      <c r="H686" s="99"/>
      <c r="I686" s="97" t="str">
        <f t="shared" si="3"/>
        <v>Обед (работа)</v>
      </c>
      <c r="J686" s="97" t="s">
        <v>93</v>
      </c>
      <c r="K686" s="97" t="s">
        <v>94</v>
      </c>
      <c r="L686" s="97" t="s">
        <v>95</v>
      </c>
      <c r="M686" s="97" t="s">
        <v>92</v>
      </c>
      <c r="N686" s="97"/>
      <c r="O686" s="97"/>
      <c r="P686" s="97"/>
    </row>
    <row r="687">
      <c r="A687" s="92">
        <f t="shared" si="1"/>
        <v>7</v>
      </c>
      <c r="B687" s="92">
        <f t="shared" si="2"/>
        <v>6</v>
      </c>
      <c r="C687" s="93">
        <v>43267.0</v>
      </c>
      <c r="D687" s="94" t="s">
        <v>259</v>
      </c>
      <c r="E687" s="94" t="s">
        <v>37</v>
      </c>
      <c r="F687" s="100"/>
      <c r="G687" s="95">
        <v>150.0</v>
      </c>
      <c r="H687" s="99"/>
      <c r="I687" s="97" t="str">
        <f t="shared" si="3"/>
        <v/>
      </c>
      <c r="J687" s="97"/>
      <c r="K687" s="97"/>
      <c r="L687" s="97"/>
      <c r="M687" s="97"/>
      <c r="N687" s="97"/>
      <c r="O687" s="97"/>
      <c r="P687" s="97"/>
    </row>
    <row r="688">
      <c r="A688" s="92">
        <f t="shared" si="1"/>
        <v>7</v>
      </c>
      <c r="B688" s="92">
        <f t="shared" si="2"/>
        <v>6</v>
      </c>
      <c r="C688" s="93">
        <v>43267.0</v>
      </c>
      <c r="D688" s="94" t="s">
        <v>260</v>
      </c>
      <c r="E688" s="94" t="s">
        <v>15</v>
      </c>
      <c r="F688" s="94" t="s">
        <v>95</v>
      </c>
      <c r="G688" s="95">
        <v>150.0</v>
      </c>
      <c r="H688" s="99"/>
      <c r="I688" s="97" t="str">
        <f t="shared" si="3"/>
        <v>Обед (работа)</v>
      </c>
      <c r="J688" s="97" t="s">
        <v>93</v>
      </c>
      <c r="K688" s="97" t="s">
        <v>94</v>
      </c>
      <c r="L688" s="97" t="s">
        <v>95</v>
      </c>
      <c r="M688" s="97" t="s">
        <v>92</v>
      </c>
      <c r="N688" s="97"/>
      <c r="O688" s="97"/>
      <c r="P688" s="97"/>
    </row>
    <row r="689">
      <c r="A689" s="92">
        <f t="shared" si="1"/>
        <v>7</v>
      </c>
      <c r="B689" s="92">
        <f t="shared" si="2"/>
        <v>6</v>
      </c>
      <c r="C689" s="93">
        <v>43267.0</v>
      </c>
      <c r="D689" s="94" t="s">
        <v>189</v>
      </c>
      <c r="E689" s="94" t="s">
        <v>43</v>
      </c>
      <c r="F689" s="100"/>
      <c r="G689" s="95">
        <v>1100.0</v>
      </c>
      <c r="H689" s="99"/>
      <c r="I689" s="97" t="str">
        <f t="shared" si="3"/>
        <v/>
      </c>
      <c r="J689" s="97"/>
      <c r="K689" s="97"/>
      <c r="L689" s="97"/>
      <c r="M689" s="97"/>
      <c r="N689" s="97"/>
      <c r="O689" s="97"/>
      <c r="P689" s="97"/>
    </row>
    <row r="690">
      <c r="A690" s="92">
        <f t="shared" si="1"/>
        <v>7</v>
      </c>
      <c r="B690" s="92">
        <f t="shared" si="2"/>
        <v>6</v>
      </c>
      <c r="C690" s="93">
        <v>43267.0</v>
      </c>
      <c r="D690" s="94" t="s">
        <v>261</v>
      </c>
      <c r="E690" s="94" t="s">
        <v>26</v>
      </c>
      <c r="F690" s="100"/>
      <c r="G690" s="95">
        <v>920.0</v>
      </c>
      <c r="H690" s="99"/>
      <c r="I690" s="97" t="str">
        <f t="shared" si="3"/>
        <v/>
      </c>
      <c r="J690" s="97"/>
      <c r="K690" s="97"/>
      <c r="L690" s="97"/>
      <c r="M690" s="97"/>
      <c r="N690" s="97"/>
      <c r="O690" s="97"/>
      <c r="P690" s="97"/>
    </row>
    <row r="691">
      <c r="A691" s="92">
        <f t="shared" si="1"/>
        <v>1</v>
      </c>
      <c r="B691" s="92">
        <f t="shared" si="2"/>
        <v>6</v>
      </c>
      <c r="C691" s="93">
        <v>43268.0</v>
      </c>
      <c r="D691" s="94" t="s">
        <v>80</v>
      </c>
      <c r="E691" s="94" t="s">
        <v>24</v>
      </c>
      <c r="F691" s="94" t="s">
        <v>80</v>
      </c>
      <c r="G691" s="95">
        <v>1400.0</v>
      </c>
      <c r="H691" s="99"/>
      <c r="I691" s="97" t="str">
        <f t="shared" si="3"/>
        <v>Такси</v>
      </c>
      <c r="J691" s="97" t="s">
        <v>81</v>
      </c>
      <c r="K691" s="97" t="s">
        <v>82</v>
      </c>
      <c r="L691" s="97" t="s">
        <v>83</v>
      </c>
      <c r="M691" s="97" t="s">
        <v>84</v>
      </c>
      <c r="N691" s="97"/>
      <c r="O691" s="97"/>
      <c r="P691" s="97"/>
    </row>
    <row r="692">
      <c r="A692" s="92">
        <f t="shared" si="1"/>
        <v>1</v>
      </c>
      <c r="B692" s="92">
        <f t="shared" si="2"/>
        <v>6</v>
      </c>
      <c r="C692" s="93">
        <v>43268.0</v>
      </c>
      <c r="D692" s="94" t="s">
        <v>86</v>
      </c>
      <c r="E692" s="94" t="s">
        <v>30</v>
      </c>
      <c r="F692" s="94" t="s">
        <v>86</v>
      </c>
      <c r="G692" s="95">
        <v>1000.0</v>
      </c>
      <c r="H692" s="99"/>
      <c r="I692" s="97" t="str">
        <f t="shared" si="3"/>
        <v>Бар</v>
      </c>
      <c r="J692" s="97" t="s">
        <v>87</v>
      </c>
      <c r="K692" s="97" t="s">
        <v>88</v>
      </c>
      <c r="L692" s="97" t="s">
        <v>89</v>
      </c>
      <c r="M692" s="97" t="s">
        <v>90</v>
      </c>
      <c r="N692" s="97"/>
      <c r="O692" s="97"/>
      <c r="P692" s="97"/>
    </row>
    <row r="693">
      <c r="A693" s="92">
        <f t="shared" si="1"/>
        <v>2</v>
      </c>
      <c r="B693" s="92">
        <f t="shared" si="2"/>
        <v>6</v>
      </c>
      <c r="C693" s="93">
        <v>43269.0</v>
      </c>
      <c r="D693" s="101" t="s">
        <v>124</v>
      </c>
      <c r="E693" s="100"/>
      <c r="F693" s="100"/>
      <c r="G693" s="95">
        <v>0.0</v>
      </c>
      <c r="H693" s="99"/>
      <c r="I693" s="97" t="str">
        <f t="shared" si="3"/>
        <v/>
      </c>
      <c r="J693" s="97"/>
      <c r="K693" s="97"/>
      <c r="L693" s="97"/>
      <c r="M693" s="97"/>
      <c r="N693" s="97"/>
      <c r="O693" s="97"/>
      <c r="P693" s="97"/>
    </row>
    <row r="694">
      <c r="A694" s="92">
        <f t="shared" si="1"/>
        <v>3</v>
      </c>
      <c r="B694" s="92">
        <f t="shared" si="2"/>
        <v>6</v>
      </c>
      <c r="C694" s="93">
        <v>43270.0</v>
      </c>
      <c r="D694" s="101" t="s">
        <v>124</v>
      </c>
      <c r="E694" s="100"/>
      <c r="F694" s="100"/>
      <c r="G694" s="95">
        <v>0.0</v>
      </c>
      <c r="H694" s="99"/>
      <c r="I694" s="97" t="str">
        <f t="shared" si="3"/>
        <v/>
      </c>
      <c r="J694" s="97"/>
      <c r="K694" s="97"/>
      <c r="L694" s="97"/>
      <c r="M694" s="97"/>
      <c r="N694" s="97"/>
      <c r="O694" s="97"/>
      <c r="P694" s="97"/>
    </row>
    <row r="695">
      <c r="A695" s="92">
        <f t="shared" si="1"/>
        <v>4</v>
      </c>
      <c r="B695" s="92">
        <f t="shared" si="2"/>
        <v>6</v>
      </c>
      <c r="C695" s="93">
        <v>43271.0</v>
      </c>
      <c r="D695" s="101" t="s">
        <v>124</v>
      </c>
      <c r="E695" s="100"/>
      <c r="F695" s="100"/>
      <c r="G695" s="95">
        <v>0.0</v>
      </c>
      <c r="H695" s="99"/>
      <c r="I695" s="97" t="str">
        <f t="shared" si="3"/>
        <v/>
      </c>
      <c r="J695" s="97"/>
      <c r="K695" s="97"/>
      <c r="L695" s="97"/>
      <c r="M695" s="97"/>
      <c r="N695" s="97"/>
      <c r="O695" s="97"/>
      <c r="P695" s="97"/>
    </row>
    <row r="696">
      <c r="A696" s="92">
        <f t="shared" si="1"/>
        <v>5</v>
      </c>
      <c r="B696" s="92">
        <f t="shared" si="2"/>
        <v>6</v>
      </c>
      <c r="C696" s="93">
        <v>43272.0</v>
      </c>
      <c r="D696" s="101" t="s">
        <v>124</v>
      </c>
      <c r="E696" s="100"/>
      <c r="F696" s="100"/>
      <c r="G696" s="95">
        <v>0.0</v>
      </c>
      <c r="H696" s="99"/>
      <c r="I696" s="97" t="str">
        <f t="shared" si="3"/>
        <v/>
      </c>
      <c r="J696" s="97"/>
      <c r="K696" s="97"/>
      <c r="L696" s="97"/>
      <c r="M696" s="97"/>
      <c r="N696" s="97"/>
      <c r="O696" s="97"/>
      <c r="P696" s="97"/>
    </row>
    <row r="697">
      <c r="A697" s="92">
        <f t="shared" si="1"/>
        <v>6</v>
      </c>
      <c r="B697" s="92">
        <f t="shared" si="2"/>
        <v>6</v>
      </c>
      <c r="C697" s="93">
        <v>43273.0</v>
      </c>
      <c r="D697" s="94" t="s">
        <v>80</v>
      </c>
      <c r="E697" s="94" t="s">
        <v>24</v>
      </c>
      <c r="F697" s="94" t="s">
        <v>80</v>
      </c>
      <c r="G697" s="95">
        <v>3000.0</v>
      </c>
      <c r="H697" s="99"/>
      <c r="I697" s="97" t="str">
        <f t="shared" si="3"/>
        <v>Такси</v>
      </c>
      <c r="J697" s="97" t="s">
        <v>81</v>
      </c>
      <c r="K697" s="97" t="s">
        <v>82</v>
      </c>
      <c r="L697" s="97" t="s">
        <v>83</v>
      </c>
      <c r="M697" s="97" t="s">
        <v>84</v>
      </c>
      <c r="N697" s="97"/>
      <c r="O697" s="97"/>
      <c r="P697" s="97"/>
    </row>
    <row r="698">
      <c r="A698" s="92">
        <f t="shared" si="1"/>
        <v>7</v>
      </c>
      <c r="B698" s="92">
        <f t="shared" si="2"/>
        <v>6</v>
      </c>
      <c r="C698" s="93">
        <v>43274.0</v>
      </c>
      <c r="D698" s="94" t="s">
        <v>262</v>
      </c>
      <c r="E698" s="94" t="s">
        <v>21</v>
      </c>
      <c r="F698" s="94" t="s">
        <v>102</v>
      </c>
      <c r="G698" s="95">
        <v>1500.0</v>
      </c>
      <c r="H698" s="99"/>
      <c r="I698" s="97" t="str">
        <f t="shared" si="3"/>
        <v>Вино</v>
      </c>
      <c r="J698" s="97" t="s">
        <v>97</v>
      </c>
      <c r="K698" s="97" t="s">
        <v>98</v>
      </c>
      <c r="L698" s="97" t="s">
        <v>99</v>
      </c>
      <c r="M698" s="97" t="s">
        <v>100</v>
      </c>
      <c r="N698" s="97"/>
      <c r="O698" s="97"/>
      <c r="P698" s="97"/>
    </row>
    <row r="699">
      <c r="A699" s="92">
        <f t="shared" si="1"/>
        <v>7</v>
      </c>
      <c r="B699" s="92">
        <f t="shared" si="2"/>
        <v>6</v>
      </c>
      <c r="C699" s="93">
        <v>43274.0</v>
      </c>
      <c r="D699" s="94" t="s">
        <v>252</v>
      </c>
      <c r="E699" s="94" t="s">
        <v>30</v>
      </c>
      <c r="F699" s="94" t="s">
        <v>89</v>
      </c>
      <c r="G699" s="95">
        <v>1200.0</v>
      </c>
      <c r="H699" s="99"/>
      <c r="I699" s="97" t="str">
        <f t="shared" si="3"/>
        <v>Бар</v>
      </c>
      <c r="J699" s="97" t="s">
        <v>87</v>
      </c>
      <c r="K699" s="97" t="s">
        <v>88</v>
      </c>
      <c r="L699" s="97" t="s">
        <v>89</v>
      </c>
      <c r="M699" s="97" t="s">
        <v>90</v>
      </c>
      <c r="N699" s="97"/>
      <c r="O699" s="97"/>
      <c r="P699" s="97"/>
    </row>
    <row r="700">
      <c r="A700" s="92">
        <f t="shared" si="1"/>
        <v>7</v>
      </c>
      <c r="B700" s="92">
        <f t="shared" si="2"/>
        <v>6</v>
      </c>
      <c r="C700" s="93">
        <v>43274.0</v>
      </c>
      <c r="D700" s="94" t="s">
        <v>26</v>
      </c>
      <c r="E700" s="94" t="s">
        <v>26</v>
      </c>
      <c r="F700" s="100"/>
      <c r="G700" s="95">
        <v>1000.0</v>
      </c>
      <c r="H700" s="99"/>
      <c r="I700" s="97" t="str">
        <f t="shared" si="3"/>
        <v/>
      </c>
      <c r="J700" s="97"/>
      <c r="K700" s="97"/>
      <c r="L700" s="97"/>
      <c r="M700" s="97"/>
      <c r="N700" s="97"/>
      <c r="O700" s="97"/>
      <c r="P700" s="97"/>
    </row>
    <row r="701">
      <c r="A701" s="92">
        <f t="shared" si="1"/>
        <v>1</v>
      </c>
      <c r="B701" s="92">
        <f t="shared" si="2"/>
        <v>6</v>
      </c>
      <c r="C701" s="93">
        <v>43275.0</v>
      </c>
      <c r="D701" s="101" t="s">
        <v>124</v>
      </c>
      <c r="E701" s="100"/>
      <c r="F701" s="100"/>
      <c r="G701" s="95">
        <v>0.0</v>
      </c>
      <c r="H701" s="99"/>
      <c r="I701" s="97" t="str">
        <f t="shared" si="3"/>
        <v/>
      </c>
      <c r="J701" s="97"/>
      <c r="K701" s="97"/>
      <c r="L701" s="97"/>
      <c r="M701" s="97"/>
      <c r="N701" s="97"/>
      <c r="O701" s="97"/>
      <c r="P701" s="97"/>
    </row>
    <row r="702">
      <c r="A702" s="92">
        <f t="shared" si="1"/>
        <v>2</v>
      </c>
      <c r="B702" s="92">
        <f t="shared" si="2"/>
        <v>6</v>
      </c>
      <c r="C702" s="93">
        <v>43276.0</v>
      </c>
      <c r="D702" s="94" t="s">
        <v>83</v>
      </c>
      <c r="E702" s="94" t="s">
        <v>24</v>
      </c>
      <c r="F702" s="94" t="s">
        <v>83</v>
      </c>
      <c r="G702" s="95">
        <v>220.0</v>
      </c>
      <c r="H702" s="99"/>
      <c r="I702" s="97" t="str">
        <f t="shared" si="3"/>
        <v>Такси</v>
      </c>
      <c r="J702" s="97" t="s">
        <v>81</v>
      </c>
      <c r="K702" s="97" t="s">
        <v>82</v>
      </c>
      <c r="L702" s="97" t="s">
        <v>83</v>
      </c>
      <c r="M702" s="97" t="s">
        <v>84</v>
      </c>
      <c r="N702" s="97"/>
      <c r="O702" s="97"/>
      <c r="P702" s="97"/>
    </row>
    <row r="703">
      <c r="A703" s="92">
        <f t="shared" si="1"/>
        <v>2</v>
      </c>
      <c r="B703" s="92">
        <f t="shared" si="2"/>
        <v>6</v>
      </c>
      <c r="C703" s="93">
        <v>43276.0</v>
      </c>
      <c r="D703" s="94" t="s">
        <v>91</v>
      </c>
      <c r="E703" s="94" t="s">
        <v>15</v>
      </c>
      <c r="F703" s="94" t="s">
        <v>117</v>
      </c>
      <c r="G703" s="95">
        <v>450.0</v>
      </c>
      <c r="H703" s="99"/>
      <c r="I703" s="97" t="str">
        <f t="shared" si="3"/>
        <v>Обед (работа)</v>
      </c>
      <c r="J703" s="97" t="s">
        <v>93</v>
      </c>
      <c r="K703" s="97" t="s">
        <v>94</v>
      </c>
      <c r="L703" s="97" t="s">
        <v>95</v>
      </c>
      <c r="M703" s="97" t="s">
        <v>92</v>
      </c>
      <c r="N703" s="97"/>
      <c r="O703" s="97"/>
      <c r="P703" s="97"/>
    </row>
    <row r="704">
      <c r="A704" s="92">
        <f t="shared" si="1"/>
        <v>2</v>
      </c>
      <c r="B704" s="92">
        <f t="shared" si="2"/>
        <v>6</v>
      </c>
      <c r="C704" s="93">
        <v>43276.0</v>
      </c>
      <c r="D704" s="94" t="s">
        <v>83</v>
      </c>
      <c r="E704" s="94" t="s">
        <v>24</v>
      </c>
      <c r="F704" s="94" t="s">
        <v>83</v>
      </c>
      <c r="G704" s="95">
        <v>1000.0</v>
      </c>
      <c r="H704" s="99"/>
      <c r="I704" s="97" t="str">
        <f t="shared" si="3"/>
        <v>Такси</v>
      </c>
      <c r="J704" s="97" t="s">
        <v>81</v>
      </c>
      <c r="K704" s="97" t="s">
        <v>82</v>
      </c>
      <c r="L704" s="97" t="s">
        <v>83</v>
      </c>
      <c r="M704" s="97" t="s">
        <v>84</v>
      </c>
      <c r="N704" s="97"/>
      <c r="O704" s="97"/>
      <c r="P704" s="97"/>
    </row>
    <row r="705">
      <c r="A705" s="92">
        <f t="shared" si="1"/>
        <v>2</v>
      </c>
      <c r="B705" s="92">
        <f t="shared" si="2"/>
        <v>6</v>
      </c>
      <c r="C705" s="93">
        <v>43276.0</v>
      </c>
      <c r="D705" s="94" t="s">
        <v>80</v>
      </c>
      <c r="E705" s="94" t="s">
        <v>24</v>
      </c>
      <c r="F705" s="94" t="s">
        <v>80</v>
      </c>
      <c r="G705" s="95">
        <v>129.0</v>
      </c>
      <c r="H705" s="99"/>
      <c r="I705" s="97" t="str">
        <f t="shared" si="3"/>
        <v>Такси</v>
      </c>
      <c r="J705" s="97" t="s">
        <v>81</v>
      </c>
      <c r="K705" s="97" t="s">
        <v>82</v>
      </c>
      <c r="L705" s="97" t="s">
        <v>83</v>
      </c>
      <c r="M705" s="97" t="s">
        <v>84</v>
      </c>
      <c r="N705" s="97"/>
      <c r="O705" s="97"/>
      <c r="P705" s="97"/>
    </row>
    <row r="706">
      <c r="A706" s="92">
        <f t="shared" si="1"/>
        <v>2</v>
      </c>
      <c r="B706" s="92">
        <f t="shared" si="2"/>
        <v>6</v>
      </c>
      <c r="C706" s="93">
        <v>43276.0</v>
      </c>
      <c r="D706" s="94" t="s">
        <v>224</v>
      </c>
      <c r="E706" s="94" t="s">
        <v>15</v>
      </c>
      <c r="F706" s="94" t="s">
        <v>95</v>
      </c>
      <c r="G706" s="95">
        <v>135.0</v>
      </c>
      <c r="H706" s="99"/>
      <c r="I706" s="97" t="str">
        <f t="shared" si="3"/>
        <v>Обед (работа)</v>
      </c>
      <c r="J706" s="97" t="s">
        <v>93</v>
      </c>
      <c r="K706" s="97" t="s">
        <v>94</v>
      </c>
      <c r="L706" s="97" t="s">
        <v>95</v>
      </c>
      <c r="M706" s="97" t="s">
        <v>92</v>
      </c>
      <c r="N706" s="97"/>
      <c r="O706" s="97"/>
      <c r="P706" s="97"/>
    </row>
    <row r="707">
      <c r="A707" s="92">
        <f t="shared" si="1"/>
        <v>2</v>
      </c>
      <c r="B707" s="92">
        <f t="shared" si="2"/>
        <v>6</v>
      </c>
      <c r="C707" s="93">
        <v>43276.0</v>
      </c>
      <c r="D707" s="94" t="s">
        <v>93</v>
      </c>
      <c r="E707" s="94" t="s">
        <v>15</v>
      </c>
      <c r="F707" s="94" t="s">
        <v>93</v>
      </c>
      <c r="G707" s="95">
        <v>87.0</v>
      </c>
      <c r="H707" s="99"/>
      <c r="I707" s="97" t="str">
        <f t="shared" si="3"/>
        <v>Обед (работа)</v>
      </c>
      <c r="J707" s="97" t="s">
        <v>93</v>
      </c>
      <c r="K707" s="97" t="s">
        <v>94</v>
      </c>
      <c r="L707" s="97" t="s">
        <v>95</v>
      </c>
      <c r="M707" s="97" t="s">
        <v>92</v>
      </c>
      <c r="N707" s="97"/>
      <c r="O707" s="97"/>
      <c r="P707" s="97"/>
    </row>
    <row r="708">
      <c r="A708" s="92">
        <f t="shared" si="1"/>
        <v>2</v>
      </c>
      <c r="B708" s="92">
        <f t="shared" si="2"/>
        <v>6</v>
      </c>
      <c r="C708" s="93">
        <v>43276.0</v>
      </c>
      <c r="D708" s="94" t="s">
        <v>26</v>
      </c>
      <c r="E708" s="94" t="s">
        <v>26</v>
      </c>
      <c r="F708" s="100"/>
      <c r="G708" s="95">
        <v>521.0</v>
      </c>
      <c r="H708" s="99"/>
      <c r="I708" s="97" t="str">
        <f t="shared" si="3"/>
        <v/>
      </c>
      <c r="J708" s="97"/>
      <c r="K708" s="97"/>
      <c r="L708" s="97"/>
      <c r="M708" s="97"/>
      <c r="N708" s="97"/>
      <c r="O708" s="97"/>
      <c r="P708" s="97"/>
    </row>
    <row r="709">
      <c r="A709" s="92">
        <f t="shared" si="1"/>
        <v>3</v>
      </c>
      <c r="B709" s="92">
        <f t="shared" si="2"/>
        <v>6</v>
      </c>
      <c r="C709" s="93">
        <v>43277.0</v>
      </c>
      <c r="D709" s="94" t="s">
        <v>83</v>
      </c>
      <c r="E709" s="94" t="s">
        <v>24</v>
      </c>
      <c r="F709" s="94" t="s">
        <v>83</v>
      </c>
      <c r="G709" s="95">
        <v>22.0</v>
      </c>
      <c r="H709" s="99"/>
      <c r="I709" s="97" t="str">
        <f t="shared" si="3"/>
        <v>Такси</v>
      </c>
      <c r="J709" s="97" t="s">
        <v>81</v>
      </c>
      <c r="K709" s="97" t="s">
        <v>82</v>
      </c>
      <c r="L709" s="97" t="s">
        <v>83</v>
      </c>
      <c r="M709" s="97" t="s">
        <v>84</v>
      </c>
      <c r="N709" s="97"/>
      <c r="O709" s="97"/>
      <c r="P709" s="97"/>
    </row>
    <row r="710">
      <c r="A710" s="92">
        <f t="shared" si="1"/>
        <v>3</v>
      </c>
      <c r="B710" s="92">
        <f t="shared" si="2"/>
        <v>6</v>
      </c>
      <c r="C710" s="93">
        <v>43277.0</v>
      </c>
      <c r="D710" s="94" t="s">
        <v>80</v>
      </c>
      <c r="E710" s="94" t="s">
        <v>24</v>
      </c>
      <c r="F710" s="94" t="s">
        <v>80</v>
      </c>
      <c r="G710" s="95">
        <v>144.0</v>
      </c>
      <c r="H710" s="99"/>
      <c r="I710" s="97" t="str">
        <f t="shared" si="3"/>
        <v>Такси</v>
      </c>
      <c r="J710" s="97" t="s">
        <v>81</v>
      </c>
      <c r="K710" s="97" t="s">
        <v>82</v>
      </c>
      <c r="L710" s="97" t="s">
        <v>83</v>
      </c>
      <c r="M710" s="97" t="s">
        <v>84</v>
      </c>
      <c r="N710" s="97"/>
      <c r="O710" s="97"/>
      <c r="P710" s="97"/>
    </row>
    <row r="711">
      <c r="A711" s="92">
        <f t="shared" si="1"/>
        <v>3</v>
      </c>
      <c r="B711" s="92">
        <f t="shared" si="2"/>
        <v>6</v>
      </c>
      <c r="C711" s="93">
        <v>43277.0</v>
      </c>
      <c r="D711" s="94" t="s">
        <v>91</v>
      </c>
      <c r="E711" s="94" t="s">
        <v>15</v>
      </c>
      <c r="F711" s="94" t="s">
        <v>117</v>
      </c>
      <c r="G711" s="95">
        <v>354.0</v>
      </c>
      <c r="H711" s="99"/>
      <c r="I711" s="97" t="str">
        <f t="shared" si="3"/>
        <v>Обед (работа)</v>
      </c>
      <c r="J711" s="97" t="s">
        <v>93</v>
      </c>
      <c r="K711" s="97" t="s">
        <v>94</v>
      </c>
      <c r="L711" s="97" t="s">
        <v>95</v>
      </c>
      <c r="M711" s="97" t="s">
        <v>92</v>
      </c>
      <c r="N711" s="97"/>
      <c r="O711" s="97"/>
      <c r="P711" s="97"/>
    </row>
    <row r="712">
      <c r="A712" s="92">
        <f t="shared" si="1"/>
        <v>4</v>
      </c>
      <c r="B712" s="92">
        <f t="shared" si="2"/>
        <v>6</v>
      </c>
      <c r="C712" s="93">
        <v>43278.0</v>
      </c>
      <c r="D712" s="94" t="s">
        <v>80</v>
      </c>
      <c r="E712" s="94" t="s">
        <v>24</v>
      </c>
      <c r="F712" s="94" t="s">
        <v>80</v>
      </c>
      <c r="G712" s="95">
        <v>130.0</v>
      </c>
      <c r="H712" s="99"/>
      <c r="I712" s="97" t="str">
        <f t="shared" si="3"/>
        <v>Такси</v>
      </c>
      <c r="J712" s="97" t="s">
        <v>81</v>
      </c>
      <c r="K712" s="97" t="s">
        <v>82</v>
      </c>
      <c r="L712" s="97" t="s">
        <v>83</v>
      </c>
      <c r="M712" s="97" t="s">
        <v>84</v>
      </c>
      <c r="N712" s="97"/>
      <c r="O712" s="97"/>
      <c r="P712" s="97"/>
    </row>
    <row r="713">
      <c r="A713" s="92">
        <f t="shared" si="1"/>
        <v>4</v>
      </c>
      <c r="B713" s="92">
        <f t="shared" si="2"/>
        <v>6</v>
      </c>
      <c r="C713" s="93">
        <v>43278.0</v>
      </c>
      <c r="D713" s="94" t="s">
        <v>83</v>
      </c>
      <c r="E713" s="94" t="s">
        <v>24</v>
      </c>
      <c r="F713" s="94" t="s">
        <v>83</v>
      </c>
      <c r="G713" s="95">
        <v>44.0</v>
      </c>
      <c r="H713" s="99"/>
      <c r="I713" s="97" t="str">
        <f t="shared" si="3"/>
        <v>Такси</v>
      </c>
      <c r="J713" s="97" t="s">
        <v>81</v>
      </c>
      <c r="K713" s="97" t="s">
        <v>82</v>
      </c>
      <c r="L713" s="97" t="s">
        <v>83</v>
      </c>
      <c r="M713" s="97" t="s">
        <v>84</v>
      </c>
      <c r="N713" s="97"/>
      <c r="O713" s="97"/>
      <c r="P713" s="97"/>
    </row>
    <row r="714">
      <c r="A714" s="92">
        <f t="shared" si="1"/>
        <v>4</v>
      </c>
      <c r="B714" s="92">
        <f t="shared" si="2"/>
        <v>6</v>
      </c>
      <c r="C714" s="93">
        <v>43278.0</v>
      </c>
      <c r="D714" s="94" t="s">
        <v>91</v>
      </c>
      <c r="E714" s="94" t="s">
        <v>15</v>
      </c>
      <c r="F714" s="94" t="s">
        <v>117</v>
      </c>
      <c r="G714" s="95">
        <v>450.0</v>
      </c>
      <c r="H714" s="99"/>
      <c r="I714" s="97" t="str">
        <f t="shared" si="3"/>
        <v>Обед (работа)</v>
      </c>
      <c r="J714" s="97" t="s">
        <v>93</v>
      </c>
      <c r="K714" s="97" t="s">
        <v>94</v>
      </c>
      <c r="L714" s="97" t="s">
        <v>95</v>
      </c>
      <c r="M714" s="97" t="s">
        <v>92</v>
      </c>
      <c r="N714" s="97"/>
      <c r="O714" s="97"/>
      <c r="P714" s="97"/>
    </row>
    <row r="715">
      <c r="A715" s="92">
        <f t="shared" si="1"/>
        <v>4</v>
      </c>
      <c r="B715" s="92">
        <f t="shared" si="2"/>
        <v>6</v>
      </c>
      <c r="C715" s="93">
        <v>43278.0</v>
      </c>
      <c r="D715" s="94" t="s">
        <v>224</v>
      </c>
      <c r="E715" s="94" t="s">
        <v>15</v>
      </c>
      <c r="F715" s="94" t="s">
        <v>95</v>
      </c>
      <c r="G715" s="95">
        <v>135.0</v>
      </c>
      <c r="H715" s="99"/>
      <c r="I715" s="97" t="str">
        <f t="shared" si="3"/>
        <v>Обед (работа)</v>
      </c>
      <c r="J715" s="97" t="s">
        <v>93</v>
      </c>
      <c r="K715" s="97" t="s">
        <v>94</v>
      </c>
      <c r="L715" s="97" t="s">
        <v>95</v>
      </c>
      <c r="M715" s="97" t="s">
        <v>92</v>
      </c>
      <c r="N715" s="97"/>
      <c r="O715" s="97"/>
      <c r="P715" s="97"/>
    </row>
    <row r="716">
      <c r="A716" s="92">
        <f t="shared" si="1"/>
        <v>4</v>
      </c>
      <c r="B716" s="92">
        <f t="shared" si="2"/>
        <v>6</v>
      </c>
      <c r="C716" s="93">
        <v>43278.0</v>
      </c>
      <c r="D716" s="94" t="s">
        <v>135</v>
      </c>
      <c r="E716" s="94" t="s">
        <v>18</v>
      </c>
      <c r="F716" s="94" t="s">
        <v>120</v>
      </c>
      <c r="G716" s="95">
        <v>1300.0</v>
      </c>
      <c r="H716" s="99"/>
      <c r="I716" s="97" t="str">
        <f t="shared" si="3"/>
        <v>Родственники</v>
      </c>
      <c r="J716" s="97" t="s">
        <v>116</v>
      </c>
      <c r="K716" s="97" t="s">
        <v>115</v>
      </c>
      <c r="L716" s="97"/>
      <c r="M716" s="97"/>
      <c r="N716" s="97"/>
      <c r="O716" s="97"/>
      <c r="P716" s="97"/>
    </row>
    <row r="717">
      <c r="A717" s="92">
        <f t="shared" si="1"/>
        <v>4</v>
      </c>
      <c r="B717" s="92">
        <f t="shared" si="2"/>
        <v>6</v>
      </c>
      <c r="C717" s="93">
        <v>43278.0</v>
      </c>
      <c r="D717" s="94" t="s">
        <v>26</v>
      </c>
      <c r="E717" s="94" t="s">
        <v>26</v>
      </c>
      <c r="F717" s="100"/>
      <c r="G717" s="95">
        <v>316.0</v>
      </c>
      <c r="H717" s="99"/>
      <c r="I717" s="97" t="str">
        <f t="shared" si="3"/>
        <v/>
      </c>
      <c r="J717" s="97"/>
      <c r="K717" s="97"/>
      <c r="L717" s="97"/>
      <c r="M717" s="97"/>
      <c r="N717" s="97"/>
      <c r="O717" s="97"/>
      <c r="P717" s="97"/>
    </row>
    <row r="718">
      <c r="A718" s="92">
        <f t="shared" si="1"/>
        <v>5</v>
      </c>
      <c r="B718" s="92">
        <f t="shared" si="2"/>
        <v>6</v>
      </c>
      <c r="C718" s="93">
        <v>43279.0</v>
      </c>
      <c r="D718" s="94" t="s">
        <v>80</v>
      </c>
      <c r="E718" s="94" t="s">
        <v>24</v>
      </c>
      <c r="F718" s="94" t="s">
        <v>80</v>
      </c>
      <c r="G718" s="95">
        <v>117.0</v>
      </c>
      <c r="H718" s="99"/>
      <c r="I718" s="97" t="str">
        <f t="shared" si="3"/>
        <v>Такси</v>
      </c>
      <c r="J718" s="97" t="s">
        <v>81</v>
      </c>
      <c r="K718" s="97" t="s">
        <v>82</v>
      </c>
      <c r="L718" s="97" t="s">
        <v>83</v>
      </c>
      <c r="M718" s="97" t="s">
        <v>84</v>
      </c>
      <c r="N718" s="97"/>
      <c r="O718" s="97"/>
      <c r="P718" s="97"/>
    </row>
    <row r="719">
      <c r="A719" s="92">
        <f t="shared" si="1"/>
        <v>5</v>
      </c>
      <c r="B719" s="92">
        <f t="shared" si="2"/>
        <v>6</v>
      </c>
      <c r="C719" s="93">
        <v>43279.0</v>
      </c>
      <c r="D719" s="94" t="s">
        <v>83</v>
      </c>
      <c r="E719" s="94" t="s">
        <v>24</v>
      </c>
      <c r="F719" s="94" t="s">
        <v>83</v>
      </c>
      <c r="G719" s="95">
        <v>22.0</v>
      </c>
      <c r="H719" s="99"/>
      <c r="I719" s="97" t="str">
        <f t="shared" si="3"/>
        <v>Такси</v>
      </c>
      <c r="J719" s="97" t="s">
        <v>81</v>
      </c>
      <c r="K719" s="97" t="s">
        <v>82</v>
      </c>
      <c r="L719" s="97" t="s">
        <v>83</v>
      </c>
      <c r="M719" s="97" t="s">
        <v>84</v>
      </c>
      <c r="N719" s="97"/>
      <c r="O719" s="97"/>
      <c r="P719" s="97"/>
    </row>
    <row r="720">
      <c r="A720" s="92">
        <f t="shared" si="1"/>
        <v>5</v>
      </c>
      <c r="B720" s="92">
        <f t="shared" si="2"/>
        <v>6</v>
      </c>
      <c r="C720" s="93">
        <v>43279.0</v>
      </c>
      <c r="D720" s="94" t="s">
        <v>91</v>
      </c>
      <c r="E720" s="94" t="s">
        <v>15</v>
      </c>
      <c r="F720" s="94" t="s">
        <v>117</v>
      </c>
      <c r="G720" s="95">
        <v>292.0</v>
      </c>
      <c r="H720" s="99"/>
      <c r="I720" s="97" t="str">
        <f t="shared" si="3"/>
        <v>Обед (работа)</v>
      </c>
      <c r="J720" s="97" t="s">
        <v>93</v>
      </c>
      <c r="K720" s="97" t="s">
        <v>94</v>
      </c>
      <c r="L720" s="97" t="s">
        <v>95</v>
      </c>
      <c r="M720" s="97" t="s">
        <v>92</v>
      </c>
      <c r="N720" s="97"/>
      <c r="O720" s="97"/>
      <c r="P720" s="97"/>
    </row>
    <row r="721">
      <c r="A721" s="92">
        <f t="shared" si="1"/>
        <v>5</v>
      </c>
      <c r="B721" s="92">
        <f t="shared" si="2"/>
        <v>6</v>
      </c>
      <c r="C721" s="93">
        <v>43279.0</v>
      </c>
      <c r="D721" s="94" t="s">
        <v>26</v>
      </c>
      <c r="E721" s="94" t="s">
        <v>26</v>
      </c>
      <c r="F721" s="100"/>
      <c r="G721" s="95">
        <v>417.0</v>
      </c>
      <c r="H721" s="99"/>
      <c r="I721" s="97" t="str">
        <f t="shared" si="3"/>
        <v/>
      </c>
      <c r="J721" s="97"/>
      <c r="K721" s="97"/>
      <c r="L721" s="97"/>
      <c r="M721" s="97"/>
      <c r="N721" s="97"/>
      <c r="O721" s="97"/>
      <c r="P721" s="97"/>
    </row>
    <row r="722">
      <c r="A722" s="92">
        <f t="shared" si="1"/>
        <v>7</v>
      </c>
      <c r="B722" s="92">
        <f t="shared" si="2"/>
        <v>12</v>
      </c>
      <c r="C722" s="99"/>
      <c r="D722" s="99"/>
      <c r="E722" s="102"/>
      <c r="F722" s="99"/>
      <c r="G722" s="103"/>
      <c r="H722" s="99"/>
      <c r="I722" s="97" t="str">
        <f t="shared" si="3"/>
        <v/>
      </c>
      <c r="J722" s="97"/>
      <c r="K722" s="97"/>
      <c r="L722" s="97"/>
      <c r="M722" s="97"/>
      <c r="N722" s="97"/>
      <c r="O722" s="97"/>
      <c r="P722" s="97"/>
    </row>
    <row r="723">
      <c r="A723" s="92">
        <f t="shared" si="1"/>
        <v>7</v>
      </c>
      <c r="B723" s="92">
        <f t="shared" si="2"/>
        <v>12</v>
      </c>
      <c r="C723" s="99"/>
      <c r="D723" s="99"/>
      <c r="E723" s="99"/>
      <c r="F723" s="99"/>
      <c r="G723" s="103"/>
      <c r="H723" s="99"/>
      <c r="I723" s="97" t="str">
        <f t="shared" si="3"/>
        <v/>
      </c>
      <c r="J723" s="97"/>
      <c r="K723" s="97"/>
      <c r="L723" s="97"/>
      <c r="M723" s="97"/>
      <c r="N723" s="97"/>
      <c r="O723" s="97"/>
      <c r="P723" s="97"/>
    </row>
    <row r="724">
      <c r="A724" s="92">
        <f t="shared" si="1"/>
        <v>7</v>
      </c>
      <c r="B724" s="92">
        <f t="shared" si="2"/>
        <v>12</v>
      </c>
      <c r="C724" s="99"/>
      <c r="D724" s="99"/>
      <c r="E724" s="99"/>
      <c r="F724" s="99"/>
      <c r="G724" s="103"/>
      <c r="H724" s="99"/>
      <c r="I724" s="97" t="str">
        <f t="shared" si="3"/>
        <v/>
      </c>
      <c r="J724" s="97"/>
      <c r="K724" s="97"/>
      <c r="L724" s="97"/>
      <c r="M724" s="97"/>
      <c r="N724" s="97"/>
      <c r="O724" s="97"/>
      <c r="P724" s="97"/>
    </row>
    <row r="725">
      <c r="A725" s="92">
        <f t="shared" si="1"/>
        <v>7</v>
      </c>
      <c r="B725" s="92">
        <f t="shared" si="2"/>
        <v>12</v>
      </c>
      <c r="C725" s="99"/>
      <c r="D725" s="99"/>
      <c r="E725" s="99"/>
      <c r="F725" s="99"/>
      <c r="G725" s="103"/>
      <c r="H725" s="99"/>
      <c r="I725" s="97" t="str">
        <f t="shared" si="3"/>
        <v/>
      </c>
      <c r="J725" s="97"/>
      <c r="K725" s="97"/>
      <c r="L725" s="97"/>
      <c r="M725" s="97"/>
      <c r="N725" s="97"/>
      <c r="O725" s="97"/>
      <c r="P725" s="97"/>
    </row>
    <row r="726">
      <c r="A726" s="92">
        <f t="shared" si="1"/>
        <v>7</v>
      </c>
      <c r="B726" s="92">
        <f t="shared" si="2"/>
        <v>12</v>
      </c>
      <c r="C726" s="99"/>
      <c r="D726" s="99"/>
      <c r="E726" s="99"/>
      <c r="F726" s="99"/>
      <c r="G726" s="103"/>
      <c r="H726" s="99"/>
      <c r="I726" s="97" t="str">
        <f t="shared" si="3"/>
        <v/>
      </c>
      <c r="J726" s="97"/>
      <c r="K726" s="97"/>
      <c r="L726" s="97"/>
      <c r="M726" s="97"/>
      <c r="N726" s="97"/>
      <c r="O726" s="97"/>
      <c r="P726" s="97"/>
    </row>
    <row r="727">
      <c r="A727" s="92">
        <f t="shared" si="1"/>
        <v>7</v>
      </c>
      <c r="B727" s="92">
        <f t="shared" si="2"/>
        <v>12</v>
      </c>
      <c r="C727" s="99"/>
      <c r="D727" s="99"/>
      <c r="E727" s="99"/>
      <c r="F727" s="99"/>
      <c r="G727" s="103"/>
      <c r="H727" s="99"/>
      <c r="I727" s="97" t="str">
        <f t="shared" si="3"/>
        <v/>
      </c>
      <c r="J727" s="97"/>
      <c r="K727" s="97"/>
      <c r="L727" s="97"/>
      <c r="M727" s="97"/>
      <c r="N727" s="97"/>
      <c r="O727" s="97"/>
      <c r="P727" s="97"/>
    </row>
    <row r="728">
      <c r="A728" s="92">
        <f t="shared" si="1"/>
        <v>7</v>
      </c>
      <c r="B728" s="92">
        <f t="shared" si="2"/>
        <v>12</v>
      </c>
      <c r="C728" s="99"/>
      <c r="D728" s="99"/>
      <c r="E728" s="99"/>
      <c r="F728" s="99"/>
      <c r="G728" s="103"/>
      <c r="H728" s="99"/>
      <c r="I728" s="97" t="str">
        <f t="shared" si="3"/>
        <v/>
      </c>
      <c r="J728" s="97"/>
      <c r="K728" s="97"/>
      <c r="L728" s="97"/>
      <c r="M728" s="97"/>
      <c r="N728" s="97"/>
      <c r="O728" s="97"/>
      <c r="P728" s="97"/>
    </row>
    <row r="729">
      <c r="A729" s="92">
        <f t="shared" si="1"/>
        <v>7</v>
      </c>
      <c r="B729" s="92">
        <f t="shared" si="2"/>
        <v>12</v>
      </c>
      <c r="C729" s="99"/>
      <c r="D729" s="99"/>
      <c r="E729" s="99"/>
      <c r="F729" s="99"/>
      <c r="G729" s="103"/>
      <c r="H729" s="99"/>
      <c r="I729" s="97" t="str">
        <f t="shared" si="3"/>
        <v/>
      </c>
      <c r="J729" s="97"/>
      <c r="K729" s="97"/>
      <c r="L729" s="97"/>
      <c r="M729" s="97"/>
      <c r="N729" s="97"/>
      <c r="O729" s="97"/>
      <c r="P729" s="97"/>
    </row>
    <row r="730">
      <c r="A730" s="92">
        <f t="shared" si="1"/>
        <v>7</v>
      </c>
      <c r="B730" s="92">
        <f t="shared" si="2"/>
        <v>12</v>
      </c>
      <c r="C730" s="99"/>
      <c r="D730" s="99"/>
      <c r="E730" s="99"/>
      <c r="F730" s="99"/>
      <c r="G730" s="103"/>
      <c r="H730" s="99"/>
      <c r="I730" s="97" t="str">
        <f t="shared" si="3"/>
        <v/>
      </c>
      <c r="J730" s="97"/>
      <c r="K730" s="97"/>
      <c r="L730" s="97"/>
      <c r="M730" s="97"/>
      <c r="N730" s="97"/>
      <c r="O730" s="97"/>
      <c r="P730" s="97"/>
    </row>
    <row r="731">
      <c r="A731" s="92">
        <f t="shared" si="1"/>
        <v>7</v>
      </c>
      <c r="B731" s="92">
        <f t="shared" si="2"/>
        <v>12</v>
      </c>
      <c r="C731" s="99"/>
      <c r="D731" s="99"/>
      <c r="E731" s="99"/>
      <c r="F731" s="99"/>
      <c r="G731" s="103"/>
      <c r="H731" s="99"/>
      <c r="I731" s="97" t="str">
        <f t="shared" si="3"/>
        <v/>
      </c>
      <c r="J731" s="97"/>
      <c r="K731" s="97"/>
      <c r="L731" s="97"/>
      <c r="M731" s="97"/>
      <c r="N731" s="97"/>
      <c r="O731" s="97"/>
      <c r="P731" s="97"/>
    </row>
    <row r="732">
      <c r="A732" s="92">
        <f t="shared" si="1"/>
        <v>7</v>
      </c>
      <c r="B732" s="92">
        <f t="shared" si="2"/>
        <v>12</v>
      </c>
      <c r="C732" s="99"/>
      <c r="D732" s="99"/>
      <c r="E732" s="99"/>
      <c r="F732" s="99"/>
      <c r="G732" s="103"/>
      <c r="H732" s="99"/>
      <c r="I732" s="97" t="str">
        <f t="shared" si="3"/>
        <v/>
      </c>
      <c r="J732" s="97"/>
      <c r="K732" s="97"/>
      <c r="L732" s="97"/>
      <c r="M732" s="97"/>
      <c r="N732" s="97"/>
      <c r="O732" s="97"/>
      <c r="P732" s="97"/>
    </row>
    <row r="733">
      <c r="A733" s="92">
        <f t="shared" si="1"/>
        <v>7</v>
      </c>
      <c r="B733" s="92">
        <f t="shared" si="2"/>
        <v>12</v>
      </c>
      <c r="C733" s="99"/>
      <c r="D733" s="99"/>
      <c r="E733" s="99"/>
      <c r="F733" s="99"/>
      <c r="G733" s="103"/>
      <c r="H733" s="99"/>
      <c r="I733" s="97" t="str">
        <f t="shared" si="3"/>
        <v/>
      </c>
      <c r="J733" s="97"/>
      <c r="K733" s="97"/>
      <c r="L733" s="97"/>
      <c r="M733" s="97"/>
      <c r="N733" s="97"/>
      <c r="O733" s="97"/>
      <c r="P733" s="97"/>
    </row>
    <row r="734">
      <c r="A734" s="92">
        <f t="shared" si="1"/>
        <v>7</v>
      </c>
      <c r="B734" s="92">
        <f t="shared" si="2"/>
        <v>12</v>
      </c>
      <c r="C734" s="99"/>
      <c r="D734" s="99"/>
      <c r="E734" s="99"/>
      <c r="F734" s="99"/>
      <c r="G734" s="103"/>
      <c r="H734" s="99"/>
      <c r="I734" s="97" t="str">
        <f t="shared" si="3"/>
        <v/>
      </c>
      <c r="J734" s="97"/>
      <c r="K734" s="97"/>
      <c r="L734" s="97"/>
      <c r="M734" s="97"/>
      <c r="N734" s="97"/>
      <c r="O734" s="97"/>
      <c r="P734" s="97"/>
    </row>
    <row r="735">
      <c r="A735" s="92">
        <f t="shared" si="1"/>
        <v>7</v>
      </c>
      <c r="B735" s="92">
        <f t="shared" si="2"/>
        <v>12</v>
      </c>
      <c r="C735" s="99"/>
      <c r="D735" s="99"/>
      <c r="E735" s="99"/>
      <c r="F735" s="99"/>
      <c r="G735" s="103"/>
      <c r="H735" s="99"/>
      <c r="I735" s="97" t="str">
        <f t="shared" si="3"/>
        <v/>
      </c>
      <c r="J735" s="97"/>
      <c r="K735" s="97"/>
      <c r="L735" s="97"/>
      <c r="M735" s="97"/>
      <c r="N735" s="97"/>
      <c r="O735" s="97"/>
      <c r="P735" s="97"/>
    </row>
    <row r="736">
      <c r="A736" s="92">
        <f t="shared" si="1"/>
        <v>7</v>
      </c>
      <c r="B736" s="92">
        <f t="shared" si="2"/>
        <v>12</v>
      </c>
      <c r="C736" s="99"/>
      <c r="D736" s="99"/>
      <c r="E736" s="99"/>
      <c r="F736" s="99"/>
      <c r="G736" s="103"/>
      <c r="H736" s="99"/>
      <c r="I736" s="97" t="str">
        <f t="shared" si="3"/>
        <v/>
      </c>
      <c r="J736" s="97"/>
      <c r="K736" s="97"/>
      <c r="L736" s="97"/>
      <c r="M736" s="97"/>
      <c r="N736" s="97"/>
      <c r="O736" s="97"/>
      <c r="P736" s="97"/>
    </row>
    <row r="737">
      <c r="A737" s="92">
        <f t="shared" si="1"/>
        <v>7</v>
      </c>
      <c r="B737" s="92">
        <f t="shared" si="2"/>
        <v>12</v>
      </c>
      <c r="C737" s="99"/>
      <c r="D737" s="99"/>
      <c r="E737" s="99"/>
      <c r="F737" s="99"/>
      <c r="G737" s="103"/>
      <c r="H737" s="99"/>
      <c r="I737" s="97" t="str">
        <f t="shared" si="3"/>
        <v/>
      </c>
      <c r="J737" s="97"/>
      <c r="K737" s="97"/>
      <c r="L737" s="97"/>
      <c r="M737" s="97"/>
      <c r="N737" s="97"/>
      <c r="O737" s="97"/>
      <c r="P737" s="97"/>
    </row>
    <row r="738">
      <c r="A738" s="92">
        <f t="shared" si="1"/>
        <v>7</v>
      </c>
      <c r="B738" s="92">
        <f t="shared" si="2"/>
        <v>12</v>
      </c>
      <c r="C738" s="99"/>
      <c r="D738" s="99"/>
      <c r="E738" s="99"/>
      <c r="F738" s="99"/>
      <c r="G738" s="103"/>
      <c r="H738" s="99"/>
      <c r="I738" s="97" t="str">
        <f t="shared" si="3"/>
        <v/>
      </c>
      <c r="J738" s="97"/>
      <c r="K738" s="97"/>
      <c r="L738" s="97"/>
      <c r="M738" s="97"/>
      <c r="N738" s="97"/>
      <c r="O738" s="97"/>
      <c r="P738" s="97"/>
    </row>
    <row r="739">
      <c r="A739" s="92">
        <f t="shared" si="1"/>
        <v>7</v>
      </c>
      <c r="B739" s="92">
        <f t="shared" si="2"/>
        <v>12</v>
      </c>
      <c r="C739" s="99"/>
      <c r="D739" s="99"/>
      <c r="E739" s="99"/>
      <c r="F739" s="99"/>
      <c r="G739" s="103"/>
      <c r="H739" s="99"/>
      <c r="I739" s="97" t="str">
        <f t="shared" si="3"/>
        <v/>
      </c>
      <c r="J739" s="97"/>
      <c r="K739" s="97"/>
      <c r="L739" s="97"/>
      <c r="M739" s="97"/>
      <c r="N739" s="97"/>
      <c r="O739" s="97"/>
      <c r="P739" s="97"/>
    </row>
    <row r="740">
      <c r="A740" s="92">
        <f t="shared" si="1"/>
        <v>7</v>
      </c>
      <c r="B740" s="92">
        <f t="shared" si="2"/>
        <v>12</v>
      </c>
      <c r="C740" s="99"/>
      <c r="D740" s="99"/>
      <c r="E740" s="99"/>
      <c r="F740" s="99"/>
      <c r="G740" s="103"/>
      <c r="H740" s="99"/>
      <c r="I740" s="97" t="str">
        <f t="shared" si="3"/>
        <v/>
      </c>
      <c r="J740" s="97"/>
      <c r="K740" s="97"/>
      <c r="L740" s="97"/>
      <c r="M740" s="97"/>
      <c r="N740" s="97"/>
      <c r="O740" s="97"/>
      <c r="P740" s="97"/>
    </row>
    <row r="741">
      <c r="A741" s="92">
        <f t="shared" si="1"/>
        <v>7</v>
      </c>
      <c r="B741" s="92">
        <f t="shared" si="2"/>
        <v>12</v>
      </c>
      <c r="C741" s="99"/>
      <c r="D741" s="99"/>
      <c r="E741" s="99"/>
      <c r="F741" s="99"/>
      <c r="G741" s="103"/>
      <c r="H741" s="99"/>
      <c r="I741" s="97" t="str">
        <f t="shared" si="3"/>
        <v/>
      </c>
      <c r="J741" s="97"/>
      <c r="K741" s="97"/>
      <c r="L741" s="97"/>
      <c r="M741" s="97"/>
      <c r="N741" s="97"/>
      <c r="O741" s="97"/>
      <c r="P741" s="97"/>
    </row>
    <row r="742">
      <c r="A742" s="92">
        <f t="shared" si="1"/>
        <v>7</v>
      </c>
      <c r="B742" s="92">
        <f t="shared" si="2"/>
        <v>12</v>
      </c>
      <c r="C742" s="99"/>
      <c r="D742" s="99"/>
      <c r="E742" s="99"/>
      <c r="F742" s="99"/>
      <c r="G742" s="103"/>
      <c r="H742" s="99"/>
      <c r="I742" s="97" t="str">
        <f t="shared" si="3"/>
        <v/>
      </c>
      <c r="J742" s="97"/>
      <c r="K742" s="97"/>
      <c r="L742" s="97"/>
      <c r="M742" s="97"/>
      <c r="N742" s="97"/>
      <c r="O742" s="97"/>
      <c r="P742" s="97"/>
    </row>
    <row r="743">
      <c r="A743" s="92">
        <f t="shared" si="1"/>
        <v>7</v>
      </c>
      <c r="B743" s="92">
        <f t="shared" si="2"/>
        <v>12</v>
      </c>
      <c r="C743" s="99"/>
      <c r="D743" s="99"/>
      <c r="E743" s="99"/>
      <c r="F743" s="99"/>
      <c r="G743" s="103"/>
      <c r="H743" s="99"/>
      <c r="I743" s="97" t="str">
        <f t="shared" si="3"/>
        <v/>
      </c>
      <c r="J743" s="97"/>
      <c r="K743" s="97"/>
      <c r="L743" s="97"/>
      <c r="M743" s="97"/>
      <c r="N743" s="97"/>
      <c r="O743" s="97"/>
      <c r="P743" s="97"/>
    </row>
    <row r="744">
      <c r="A744" s="92">
        <f t="shared" si="1"/>
        <v>7</v>
      </c>
      <c r="B744" s="92">
        <f t="shared" si="2"/>
        <v>12</v>
      </c>
      <c r="C744" s="99"/>
      <c r="D744" s="99"/>
      <c r="E744" s="99"/>
      <c r="F744" s="99"/>
      <c r="G744" s="103"/>
      <c r="H744" s="99"/>
      <c r="I744" s="97" t="str">
        <f t="shared" si="3"/>
        <v/>
      </c>
      <c r="J744" s="97"/>
      <c r="K744" s="97"/>
      <c r="L744" s="97"/>
      <c r="M744" s="97"/>
      <c r="N744" s="97"/>
      <c r="O744" s="97"/>
      <c r="P744" s="97"/>
    </row>
    <row r="745">
      <c r="A745" s="92">
        <f t="shared" si="1"/>
        <v>7</v>
      </c>
      <c r="B745" s="92">
        <f t="shared" si="2"/>
        <v>12</v>
      </c>
      <c r="C745" s="99"/>
      <c r="D745" s="99"/>
      <c r="E745" s="99"/>
      <c r="F745" s="99"/>
      <c r="G745" s="103"/>
      <c r="H745" s="99"/>
      <c r="I745" s="97" t="str">
        <f t="shared" si="3"/>
        <v/>
      </c>
      <c r="J745" s="97"/>
      <c r="K745" s="97"/>
      <c r="L745" s="97"/>
      <c r="M745" s="97"/>
      <c r="N745" s="97"/>
      <c r="O745" s="97"/>
      <c r="P745" s="97"/>
    </row>
    <row r="746">
      <c r="A746" s="92">
        <f t="shared" si="1"/>
        <v>7</v>
      </c>
      <c r="B746" s="92">
        <f t="shared" si="2"/>
        <v>12</v>
      </c>
      <c r="C746" s="99"/>
      <c r="D746" s="99"/>
      <c r="E746" s="99"/>
      <c r="F746" s="99"/>
      <c r="G746" s="103"/>
      <c r="H746" s="99"/>
      <c r="I746" s="97" t="str">
        <f t="shared" si="3"/>
        <v/>
      </c>
      <c r="J746" s="97"/>
      <c r="K746" s="97"/>
      <c r="L746" s="97"/>
      <c r="M746" s="97"/>
      <c r="N746" s="97"/>
      <c r="O746" s="97"/>
      <c r="P746" s="97"/>
    </row>
    <row r="747">
      <c r="A747" s="92">
        <f t="shared" si="1"/>
        <v>7</v>
      </c>
      <c r="B747" s="92">
        <f t="shared" si="2"/>
        <v>12</v>
      </c>
      <c r="C747" s="99"/>
      <c r="D747" s="99"/>
      <c r="E747" s="99"/>
      <c r="F747" s="99"/>
      <c r="G747" s="103"/>
      <c r="H747" s="99"/>
      <c r="I747" s="97" t="str">
        <f t="shared" si="3"/>
        <v/>
      </c>
      <c r="J747" s="97"/>
      <c r="K747" s="97"/>
      <c r="L747" s="97"/>
      <c r="M747" s="97"/>
      <c r="N747" s="97"/>
      <c r="O747" s="97"/>
      <c r="P747" s="97"/>
    </row>
    <row r="748">
      <c r="A748" s="92">
        <f t="shared" si="1"/>
        <v>7</v>
      </c>
      <c r="B748" s="92">
        <f t="shared" si="2"/>
        <v>12</v>
      </c>
      <c r="C748" s="99"/>
      <c r="D748" s="99"/>
      <c r="E748" s="99"/>
      <c r="F748" s="99"/>
      <c r="G748" s="103"/>
      <c r="H748" s="99"/>
      <c r="I748" s="97" t="str">
        <f t="shared" si="3"/>
        <v/>
      </c>
      <c r="J748" s="97"/>
      <c r="K748" s="97"/>
      <c r="L748" s="97"/>
      <c r="M748" s="97"/>
      <c r="N748" s="97"/>
      <c r="O748" s="97"/>
      <c r="P748" s="97"/>
    </row>
    <row r="749">
      <c r="A749" s="92">
        <f t="shared" si="1"/>
        <v>7</v>
      </c>
      <c r="B749" s="92">
        <f t="shared" si="2"/>
        <v>12</v>
      </c>
      <c r="C749" s="99"/>
      <c r="D749" s="99"/>
      <c r="E749" s="99"/>
      <c r="F749" s="99"/>
      <c r="G749" s="103"/>
      <c r="H749" s="99"/>
      <c r="I749" s="97" t="str">
        <f t="shared" si="3"/>
        <v/>
      </c>
      <c r="J749" s="97"/>
      <c r="K749" s="97"/>
      <c r="L749" s="97"/>
      <c r="M749" s="97"/>
      <c r="N749" s="97"/>
      <c r="O749" s="97"/>
      <c r="P749" s="97"/>
    </row>
    <row r="750">
      <c r="A750" s="92">
        <f t="shared" si="1"/>
        <v>7</v>
      </c>
      <c r="B750" s="92">
        <f t="shared" si="2"/>
        <v>12</v>
      </c>
      <c r="C750" s="99"/>
      <c r="D750" s="99"/>
      <c r="E750" s="99"/>
      <c r="F750" s="99"/>
      <c r="G750" s="103"/>
      <c r="H750" s="99"/>
      <c r="I750" s="97" t="str">
        <f t="shared" si="3"/>
        <v/>
      </c>
      <c r="J750" s="97"/>
      <c r="K750" s="97"/>
      <c r="L750" s="97"/>
      <c r="M750" s="97"/>
      <c r="N750" s="97"/>
      <c r="O750" s="97"/>
      <c r="P750" s="97"/>
    </row>
    <row r="751">
      <c r="A751" s="92">
        <f t="shared" si="1"/>
        <v>7</v>
      </c>
      <c r="B751" s="92">
        <f t="shared" si="2"/>
        <v>12</v>
      </c>
      <c r="C751" s="99"/>
      <c r="D751" s="99"/>
      <c r="E751" s="99"/>
      <c r="F751" s="99"/>
      <c r="G751" s="103"/>
      <c r="H751" s="99"/>
      <c r="I751" s="97" t="str">
        <f t="shared" si="3"/>
        <v/>
      </c>
      <c r="J751" s="97"/>
      <c r="K751" s="97"/>
      <c r="L751" s="97"/>
      <c r="M751" s="97"/>
      <c r="N751" s="97"/>
      <c r="O751" s="97"/>
      <c r="P751" s="97"/>
    </row>
    <row r="752">
      <c r="A752" s="92">
        <f t="shared" si="1"/>
        <v>7</v>
      </c>
      <c r="B752" s="92">
        <f t="shared" si="2"/>
        <v>12</v>
      </c>
      <c r="C752" s="99"/>
      <c r="D752" s="99"/>
      <c r="E752" s="99"/>
      <c r="F752" s="99"/>
      <c r="G752" s="103"/>
      <c r="H752" s="99"/>
      <c r="I752" s="97" t="str">
        <f t="shared" si="3"/>
        <v/>
      </c>
      <c r="J752" s="97"/>
      <c r="K752" s="97"/>
      <c r="L752" s="97"/>
      <c r="M752" s="97"/>
      <c r="N752" s="97"/>
      <c r="O752" s="97"/>
      <c r="P752" s="97"/>
    </row>
    <row r="753">
      <c r="A753" s="92">
        <f t="shared" si="1"/>
        <v>7</v>
      </c>
      <c r="B753" s="92">
        <f t="shared" si="2"/>
        <v>12</v>
      </c>
      <c r="C753" s="99"/>
      <c r="D753" s="99"/>
      <c r="E753" s="99"/>
      <c r="F753" s="99"/>
      <c r="G753" s="103"/>
      <c r="H753" s="99"/>
      <c r="I753" s="97" t="str">
        <f t="shared" si="3"/>
        <v/>
      </c>
      <c r="J753" s="97"/>
      <c r="K753" s="97"/>
      <c r="L753" s="97"/>
      <c r="M753" s="97"/>
      <c r="N753" s="97"/>
      <c r="O753" s="97"/>
      <c r="P753" s="97"/>
    </row>
    <row r="754">
      <c r="A754" s="92">
        <f t="shared" si="1"/>
        <v>7</v>
      </c>
      <c r="B754" s="92">
        <f t="shared" si="2"/>
        <v>12</v>
      </c>
      <c r="C754" s="99"/>
      <c r="D754" s="99"/>
      <c r="E754" s="99"/>
      <c r="F754" s="99"/>
      <c r="G754" s="103"/>
      <c r="H754" s="99"/>
      <c r="I754" s="97" t="str">
        <f t="shared" si="3"/>
        <v/>
      </c>
      <c r="J754" s="97"/>
      <c r="K754" s="97"/>
      <c r="L754" s="97"/>
      <c r="M754" s="97"/>
      <c r="N754" s="97"/>
      <c r="O754" s="97"/>
      <c r="P754" s="97"/>
    </row>
    <row r="755">
      <c r="A755" s="92">
        <f t="shared" si="1"/>
        <v>7</v>
      </c>
      <c r="B755" s="92">
        <f t="shared" si="2"/>
        <v>12</v>
      </c>
      <c r="C755" s="99"/>
      <c r="D755" s="99"/>
      <c r="E755" s="99"/>
      <c r="F755" s="99"/>
      <c r="G755" s="103"/>
      <c r="H755" s="99"/>
      <c r="I755" s="97" t="str">
        <f t="shared" si="3"/>
        <v/>
      </c>
      <c r="J755" s="97"/>
      <c r="K755" s="97"/>
      <c r="L755" s="97"/>
      <c r="M755" s="97"/>
      <c r="N755" s="97"/>
      <c r="O755" s="97"/>
      <c r="P755" s="97"/>
    </row>
    <row r="756">
      <c r="A756" s="92">
        <f t="shared" si="1"/>
        <v>7</v>
      </c>
      <c r="B756" s="92">
        <f t="shared" si="2"/>
        <v>12</v>
      </c>
      <c r="C756" s="99"/>
      <c r="D756" s="99"/>
      <c r="E756" s="99"/>
      <c r="F756" s="99"/>
      <c r="G756" s="103"/>
      <c r="H756" s="99"/>
      <c r="I756" s="97" t="str">
        <f t="shared" si="3"/>
        <v/>
      </c>
      <c r="J756" s="97"/>
      <c r="K756" s="97"/>
      <c r="L756" s="97"/>
      <c r="M756" s="97"/>
      <c r="N756" s="97"/>
      <c r="O756" s="97"/>
      <c r="P756" s="97"/>
    </row>
    <row r="757">
      <c r="A757" s="92">
        <f t="shared" si="1"/>
        <v>7</v>
      </c>
      <c r="B757" s="92">
        <f t="shared" si="2"/>
        <v>12</v>
      </c>
      <c r="C757" s="99"/>
      <c r="D757" s="99"/>
      <c r="E757" s="99"/>
      <c r="F757" s="99"/>
      <c r="G757" s="103"/>
      <c r="H757" s="99"/>
      <c r="I757" s="97" t="str">
        <f t="shared" si="3"/>
        <v/>
      </c>
      <c r="J757" s="97"/>
      <c r="K757" s="97"/>
      <c r="L757" s="97"/>
      <c r="M757" s="97"/>
      <c r="N757" s="97"/>
      <c r="O757" s="97"/>
      <c r="P757" s="97"/>
    </row>
    <row r="758">
      <c r="A758" s="92">
        <f t="shared" si="1"/>
        <v>7</v>
      </c>
      <c r="B758" s="92">
        <f t="shared" si="2"/>
        <v>12</v>
      </c>
      <c r="C758" s="99"/>
      <c r="D758" s="99"/>
      <c r="E758" s="99"/>
      <c r="F758" s="99"/>
      <c r="G758" s="103"/>
      <c r="H758" s="99"/>
      <c r="I758" s="97" t="str">
        <f t="shared" si="3"/>
        <v/>
      </c>
      <c r="J758" s="97"/>
      <c r="K758" s="97"/>
      <c r="L758" s="97"/>
      <c r="M758" s="97"/>
      <c r="N758" s="97"/>
      <c r="O758" s="97"/>
      <c r="P758" s="97"/>
    </row>
    <row r="759">
      <c r="A759" s="92">
        <f t="shared" si="1"/>
        <v>7</v>
      </c>
      <c r="B759" s="92">
        <f t="shared" si="2"/>
        <v>12</v>
      </c>
      <c r="C759" s="99"/>
      <c r="D759" s="99"/>
      <c r="E759" s="99"/>
      <c r="F759" s="99"/>
      <c r="G759" s="103"/>
      <c r="H759" s="99"/>
      <c r="I759" s="97" t="str">
        <f t="shared" si="3"/>
        <v/>
      </c>
      <c r="J759" s="97"/>
      <c r="K759" s="97"/>
      <c r="L759" s="97"/>
      <c r="M759" s="97"/>
      <c r="N759" s="97"/>
      <c r="O759" s="97"/>
      <c r="P759" s="97"/>
    </row>
    <row r="760">
      <c r="A760" s="92">
        <f t="shared" si="1"/>
        <v>7</v>
      </c>
      <c r="B760" s="92">
        <f t="shared" si="2"/>
        <v>12</v>
      </c>
      <c r="C760" s="99"/>
      <c r="D760" s="99"/>
      <c r="E760" s="99"/>
      <c r="F760" s="99"/>
      <c r="G760" s="103"/>
      <c r="H760" s="99"/>
      <c r="I760" s="97" t="str">
        <f t="shared" si="3"/>
        <v/>
      </c>
      <c r="J760" s="97"/>
      <c r="K760" s="97"/>
      <c r="L760" s="97"/>
      <c r="M760" s="97"/>
      <c r="N760" s="97"/>
      <c r="O760" s="97"/>
      <c r="P760" s="97"/>
    </row>
    <row r="761">
      <c r="A761" s="92">
        <f t="shared" si="1"/>
        <v>7</v>
      </c>
      <c r="B761" s="92">
        <f t="shared" si="2"/>
        <v>12</v>
      </c>
      <c r="C761" s="99"/>
      <c r="D761" s="99"/>
      <c r="E761" s="99"/>
      <c r="F761" s="99"/>
      <c r="G761" s="103"/>
      <c r="H761" s="99"/>
      <c r="I761" s="97" t="str">
        <f t="shared" si="3"/>
        <v/>
      </c>
      <c r="J761" s="97"/>
      <c r="K761" s="97"/>
      <c r="L761" s="97"/>
      <c r="M761" s="97"/>
      <c r="N761" s="97"/>
      <c r="O761" s="97"/>
      <c r="P761" s="97"/>
    </row>
    <row r="762">
      <c r="A762" s="92">
        <f t="shared" si="1"/>
        <v>7</v>
      </c>
      <c r="B762" s="92">
        <f t="shared" si="2"/>
        <v>12</v>
      </c>
      <c r="C762" s="99"/>
      <c r="D762" s="99"/>
      <c r="E762" s="99"/>
      <c r="F762" s="99"/>
      <c r="G762" s="103"/>
      <c r="H762" s="99"/>
      <c r="I762" s="97" t="str">
        <f t="shared" si="3"/>
        <v/>
      </c>
      <c r="J762" s="97"/>
      <c r="K762" s="97"/>
      <c r="L762" s="97"/>
      <c r="M762" s="97"/>
      <c r="N762" s="97"/>
      <c r="O762" s="97"/>
      <c r="P762" s="97"/>
    </row>
    <row r="763">
      <c r="A763" s="92">
        <f t="shared" si="1"/>
        <v>7</v>
      </c>
      <c r="B763" s="92">
        <f t="shared" si="2"/>
        <v>12</v>
      </c>
      <c r="C763" s="99"/>
      <c r="D763" s="99"/>
      <c r="E763" s="99"/>
      <c r="F763" s="99"/>
      <c r="G763" s="103"/>
      <c r="H763" s="99"/>
      <c r="I763" s="97" t="str">
        <f t="shared" si="3"/>
        <v/>
      </c>
      <c r="J763" s="97"/>
      <c r="K763" s="97"/>
      <c r="L763" s="97"/>
      <c r="M763" s="97"/>
      <c r="N763" s="97"/>
      <c r="O763" s="97"/>
      <c r="P763" s="97"/>
    </row>
    <row r="764">
      <c r="A764" s="92">
        <f t="shared" si="1"/>
        <v>7</v>
      </c>
      <c r="B764" s="92">
        <f t="shared" si="2"/>
        <v>12</v>
      </c>
      <c r="C764" s="99"/>
      <c r="D764" s="99"/>
      <c r="E764" s="99"/>
      <c r="F764" s="99"/>
      <c r="G764" s="103"/>
      <c r="H764" s="99"/>
      <c r="I764" s="97" t="str">
        <f t="shared" si="3"/>
        <v/>
      </c>
      <c r="J764" s="97"/>
      <c r="K764" s="97"/>
      <c r="L764" s="97"/>
      <c r="M764" s="97"/>
      <c r="N764" s="97"/>
      <c r="O764" s="97"/>
      <c r="P764" s="97"/>
    </row>
    <row r="765">
      <c r="A765" s="92">
        <f t="shared" si="1"/>
        <v>7</v>
      </c>
      <c r="B765" s="92">
        <f t="shared" si="2"/>
        <v>12</v>
      </c>
      <c r="C765" s="99"/>
      <c r="D765" s="99"/>
      <c r="E765" s="99"/>
      <c r="F765" s="99"/>
      <c r="G765" s="103"/>
      <c r="H765" s="99"/>
      <c r="I765" s="97" t="str">
        <f t="shared" si="3"/>
        <v/>
      </c>
      <c r="J765" s="97"/>
      <c r="K765" s="97"/>
      <c r="L765" s="97"/>
      <c r="M765" s="97"/>
      <c r="N765" s="97"/>
      <c r="O765" s="97"/>
      <c r="P765" s="97"/>
    </row>
    <row r="766">
      <c r="A766" s="92">
        <f t="shared" si="1"/>
        <v>7</v>
      </c>
      <c r="B766" s="92">
        <f t="shared" si="2"/>
        <v>12</v>
      </c>
      <c r="C766" s="99"/>
      <c r="D766" s="99"/>
      <c r="E766" s="99"/>
      <c r="F766" s="99"/>
      <c r="G766" s="103"/>
      <c r="H766" s="99"/>
      <c r="I766" s="97" t="str">
        <f t="shared" si="3"/>
        <v/>
      </c>
      <c r="J766" s="97"/>
      <c r="K766" s="97"/>
      <c r="L766" s="97"/>
      <c r="M766" s="97"/>
      <c r="N766" s="97"/>
      <c r="O766" s="97"/>
      <c r="P766" s="97"/>
    </row>
    <row r="767">
      <c r="A767" s="92">
        <f t="shared" si="1"/>
        <v>7</v>
      </c>
      <c r="B767" s="92">
        <f t="shared" si="2"/>
        <v>12</v>
      </c>
      <c r="C767" s="99"/>
      <c r="D767" s="99"/>
      <c r="E767" s="99"/>
      <c r="F767" s="99"/>
      <c r="G767" s="103"/>
      <c r="H767" s="99"/>
      <c r="I767" s="97" t="str">
        <f t="shared" si="3"/>
        <v/>
      </c>
      <c r="J767" s="97"/>
      <c r="K767" s="97"/>
      <c r="L767" s="97"/>
      <c r="M767" s="97"/>
      <c r="N767" s="97"/>
      <c r="O767" s="97"/>
      <c r="P767" s="97"/>
    </row>
    <row r="768">
      <c r="A768" s="92">
        <f t="shared" si="1"/>
        <v>7</v>
      </c>
      <c r="B768" s="92">
        <f t="shared" si="2"/>
        <v>12</v>
      </c>
      <c r="C768" s="99"/>
      <c r="D768" s="99"/>
      <c r="E768" s="99"/>
      <c r="F768" s="99"/>
      <c r="G768" s="103"/>
      <c r="H768" s="99"/>
      <c r="I768" s="97" t="str">
        <f t="shared" si="3"/>
        <v/>
      </c>
      <c r="J768" s="97"/>
      <c r="K768" s="97"/>
      <c r="L768" s="97"/>
      <c r="M768" s="97"/>
      <c r="N768" s="97"/>
      <c r="O768" s="97"/>
      <c r="P768" s="97"/>
    </row>
    <row r="769">
      <c r="A769" s="92">
        <f t="shared" si="1"/>
        <v>7</v>
      </c>
      <c r="B769" s="92">
        <f t="shared" si="2"/>
        <v>12</v>
      </c>
      <c r="C769" s="99"/>
      <c r="D769" s="99"/>
      <c r="E769" s="99"/>
      <c r="F769" s="99"/>
      <c r="G769" s="103"/>
      <c r="H769" s="99"/>
      <c r="I769" s="97" t="str">
        <f t="shared" si="3"/>
        <v/>
      </c>
      <c r="J769" s="97"/>
      <c r="K769" s="97"/>
      <c r="L769" s="97"/>
      <c r="M769" s="97"/>
      <c r="N769" s="97"/>
      <c r="O769" s="97"/>
      <c r="P769" s="97"/>
    </row>
    <row r="770">
      <c r="A770" s="92">
        <f t="shared" si="1"/>
        <v>7</v>
      </c>
      <c r="B770" s="92">
        <f t="shared" si="2"/>
        <v>12</v>
      </c>
      <c r="C770" s="99"/>
      <c r="D770" s="99"/>
      <c r="E770" s="99"/>
      <c r="F770" s="99"/>
      <c r="G770" s="103"/>
      <c r="H770" s="99"/>
      <c r="I770" s="97" t="str">
        <f t="shared" si="3"/>
        <v/>
      </c>
      <c r="J770" s="97"/>
      <c r="K770" s="97"/>
      <c r="L770" s="97"/>
      <c r="M770" s="97"/>
      <c r="N770" s="97"/>
      <c r="O770" s="97"/>
      <c r="P770" s="97"/>
    </row>
    <row r="771">
      <c r="A771" s="92">
        <f t="shared" si="1"/>
        <v>7</v>
      </c>
      <c r="B771" s="92">
        <f t="shared" si="2"/>
        <v>12</v>
      </c>
      <c r="C771" s="99"/>
      <c r="D771" s="99"/>
      <c r="E771" s="99"/>
      <c r="F771" s="99"/>
      <c r="G771" s="103"/>
      <c r="H771" s="99"/>
      <c r="I771" s="97" t="str">
        <f t="shared" si="3"/>
        <v/>
      </c>
      <c r="J771" s="97"/>
      <c r="K771" s="97"/>
      <c r="L771" s="97"/>
      <c r="M771" s="97"/>
      <c r="N771" s="97"/>
      <c r="O771" s="97"/>
      <c r="P771" s="97"/>
    </row>
    <row r="772">
      <c r="A772" s="92">
        <f t="shared" si="1"/>
        <v>7</v>
      </c>
      <c r="B772" s="92">
        <f t="shared" si="2"/>
        <v>12</v>
      </c>
      <c r="C772" s="99"/>
      <c r="D772" s="99"/>
      <c r="E772" s="99"/>
      <c r="F772" s="99"/>
      <c r="G772" s="103"/>
      <c r="H772" s="99"/>
      <c r="I772" s="97" t="str">
        <f t="shared" si="3"/>
        <v/>
      </c>
      <c r="J772" s="97"/>
      <c r="K772" s="97"/>
      <c r="L772" s="97"/>
      <c r="M772" s="97"/>
      <c r="N772" s="97"/>
      <c r="O772" s="97"/>
      <c r="P772" s="97"/>
    </row>
    <row r="773">
      <c r="A773" s="92">
        <f t="shared" si="1"/>
        <v>7</v>
      </c>
      <c r="B773" s="92">
        <f t="shared" si="2"/>
        <v>12</v>
      </c>
      <c r="C773" s="99"/>
      <c r="D773" s="99"/>
      <c r="E773" s="99"/>
      <c r="F773" s="99"/>
      <c r="G773" s="103"/>
      <c r="H773" s="99"/>
      <c r="I773" s="97" t="str">
        <f t="shared" si="3"/>
        <v/>
      </c>
      <c r="J773" s="97"/>
      <c r="K773" s="97"/>
      <c r="L773" s="97"/>
      <c r="M773" s="97"/>
      <c r="N773" s="97"/>
      <c r="O773" s="97"/>
      <c r="P773" s="97"/>
    </row>
    <row r="774">
      <c r="A774" s="92">
        <f t="shared" si="1"/>
        <v>7</v>
      </c>
      <c r="B774" s="92">
        <f t="shared" si="2"/>
        <v>12</v>
      </c>
      <c r="C774" s="99"/>
      <c r="D774" s="99"/>
      <c r="E774" s="99"/>
      <c r="F774" s="99"/>
      <c r="G774" s="103"/>
      <c r="H774" s="99"/>
      <c r="I774" s="97" t="str">
        <f t="shared" si="3"/>
        <v/>
      </c>
      <c r="J774" s="97"/>
      <c r="K774" s="97"/>
      <c r="L774" s="97"/>
      <c r="M774" s="97"/>
      <c r="N774" s="97"/>
      <c r="O774" s="97"/>
      <c r="P774" s="97"/>
    </row>
    <row r="775">
      <c r="A775" s="92">
        <f t="shared" si="1"/>
        <v>7</v>
      </c>
      <c r="B775" s="92">
        <f t="shared" si="2"/>
        <v>12</v>
      </c>
      <c r="C775" s="99"/>
      <c r="D775" s="99"/>
      <c r="E775" s="99"/>
      <c r="F775" s="99"/>
      <c r="G775" s="103"/>
      <c r="H775" s="99"/>
      <c r="I775" s="97" t="str">
        <f t="shared" si="3"/>
        <v/>
      </c>
      <c r="J775" s="97"/>
      <c r="K775" s="97"/>
      <c r="L775" s="97"/>
      <c r="M775" s="97"/>
      <c r="N775" s="97"/>
      <c r="O775" s="97"/>
      <c r="P775" s="97"/>
    </row>
    <row r="776">
      <c r="A776" s="92">
        <f t="shared" si="1"/>
        <v>7</v>
      </c>
      <c r="B776" s="92">
        <f t="shared" si="2"/>
        <v>12</v>
      </c>
      <c r="C776" s="99"/>
      <c r="D776" s="99"/>
      <c r="E776" s="99"/>
      <c r="F776" s="99"/>
      <c r="G776" s="103"/>
      <c r="H776" s="99"/>
      <c r="I776" s="97" t="str">
        <f t="shared" si="3"/>
        <v/>
      </c>
      <c r="J776" s="97"/>
      <c r="K776" s="97"/>
      <c r="L776" s="97"/>
      <c r="M776" s="97"/>
      <c r="N776" s="97"/>
      <c r="O776" s="97"/>
      <c r="P776" s="97"/>
    </row>
    <row r="777">
      <c r="A777" s="92">
        <f t="shared" si="1"/>
        <v>7</v>
      </c>
      <c r="B777" s="92">
        <f t="shared" si="2"/>
        <v>12</v>
      </c>
      <c r="C777" s="99"/>
      <c r="D777" s="99"/>
      <c r="E777" s="99"/>
      <c r="F777" s="99"/>
      <c r="G777" s="103"/>
      <c r="H777" s="99"/>
      <c r="I777" s="97" t="str">
        <f t="shared" si="3"/>
        <v/>
      </c>
      <c r="J777" s="97"/>
      <c r="K777" s="97"/>
      <c r="L777" s="97"/>
      <c r="M777" s="97"/>
      <c r="N777" s="97"/>
      <c r="O777" s="97"/>
      <c r="P777" s="97"/>
    </row>
    <row r="778">
      <c r="A778" s="92">
        <f t="shared" si="1"/>
        <v>7</v>
      </c>
      <c r="B778" s="92">
        <f t="shared" si="2"/>
        <v>12</v>
      </c>
      <c r="C778" s="99"/>
      <c r="D778" s="99"/>
      <c r="E778" s="99"/>
      <c r="F778" s="99"/>
      <c r="G778" s="103"/>
      <c r="H778" s="99"/>
      <c r="I778" s="97" t="str">
        <f t="shared" si="3"/>
        <v/>
      </c>
      <c r="J778" s="97"/>
      <c r="K778" s="97"/>
      <c r="L778" s="97"/>
      <c r="M778" s="97"/>
      <c r="N778" s="97"/>
      <c r="O778" s="97"/>
      <c r="P778" s="97"/>
    </row>
    <row r="779">
      <c r="A779" s="92">
        <f t="shared" si="1"/>
        <v>7</v>
      </c>
      <c r="B779" s="92">
        <f t="shared" si="2"/>
        <v>12</v>
      </c>
      <c r="C779" s="99"/>
      <c r="D779" s="99"/>
      <c r="E779" s="99"/>
      <c r="F779" s="99"/>
      <c r="G779" s="103"/>
      <c r="H779" s="99"/>
      <c r="I779" s="97" t="str">
        <f t="shared" si="3"/>
        <v/>
      </c>
      <c r="J779" s="97"/>
      <c r="K779" s="97"/>
      <c r="L779" s="97"/>
      <c r="M779" s="97"/>
      <c r="N779" s="97"/>
      <c r="O779" s="97"/>
      <c r="P779" s="97"/>
    </row>
    <row r="780">
      <c r="A780" s="92">
        <f t="shared" si="1"/>
        <v>7</v>
      </c>
      <c r="B780" s="92">
        <f t="shared" si="2"/>
        <v>12</v>
      </c>
      <c r="C780" s="99"/>
      <c r="D780" s="99"/>
      <c r="E780" s="99"/>
      <c r="F780" s="99"/>
      <c r="G780" s="103"/>
      <c r="H780" s="99"/>
      <c r="I780" s="97" t="str">
        <f t="shared" si="3"/>
        <v/>
      </c>
      <c r="J780" s="97"/>
      <c r="K780" s="97"/>
      <c r="L780" s="97"/>
      <c r="M780" s="97"/>
      <c r="N780" s="97"/>
      <c r="O780" s="97"/>
      <c r="P780" s="97"/>
    </row>
    <row r="781">
      <c r="A781" s="92">
        <f t="shared" si="1"/>
        <v>7</v>
      </c>
      <c r="B781" s="92">
        <f t="shared" si="2"/>
        <v>12</v>
      </c>
      <c r="C781" s="99"/>
      <c r="D781" s="99"/>
      <c r="E781" s="99"/>
      <c r="F781" s="99"/>
      <c r="G781" s="103"/>
      <c r="H781" s="99"/>
      <c r="I781" s="97" t="str">
        <f t="shared" si="3"/>
        <v/>
      </c>
      <c r="J781" s="97"/>
      <c r="K781" s="97"/>
      <c r="L781" s="97"/>
      <c r="M781" s="97"/>
      <c r="N781" s="97"/>
      <c r="O781" s="97"/>
      <c r="P781" s="97"/>
    </row>
    <row r="782">
      <c r="A782" s="92">
        <f t="shared" si="1"/>
        <v>7</v>
      </c>
      <c r="B782" s="92">
        <f t="shared" si="2"/>
        <v>12</v>
      </c>
      <c r="C782" s="99"/>
      <c r="D782" s="99"/>
      <c r="E782" s="99"/>
      <c r="F782" s="99"/>
      <c r="G782" s="103"/>
      <c r="H782" s="99"/>
      <c r="I782" s="97" t="str">
        <f t="shared" si="3"/>
        <v/>
      </c>
      <c r="J782" s="97"/>
      <c r="K782" s="97"/>
      <c r="L782" s="97"/>
      <c r="M782" s="97"/>
      <c r="N782" s="97"/>
      <c r="O782" s="97"/>
      <c r="P782" s="97"/>
    </row>
    <row r="783">
      <c r="A783" s="92">
        <f t="shared" si="1"/>
        <v>7</v>
      </c>
      <c r="B783" s="92">
        <f t="shared" si="2"/>
        <v>12</v>
      </c>
      <c r="C783" s="99"/>
      <c r="D783" s="99"/>
      <c r="E783" s="99"/>
      <c r="F783" s="99"/>
      <c r="G783" s="103"/>
      <c r="H783" s="99"/>
      <c r="I783" s="97" t="str">
        <f t="shared" si="3"/>
        <v/>
      </c>
      <c r="J783" s="97"/>
      <c r="K783" s="97"/>
      <c r="L783" s="97"/>
      <c r="M783" s="97"/>
      <c r="N783" s="97"/>
      <c r="O783" s="97"/>
      <c r="P783" s="97"/>
    </row>
    <row r="784">
      <c r="A784" s="92">
        <f t="shared" si="1"/>
        <v>7</v>
      </c>
      <c r="B784" s="92">
        <f t="shared" si="2"/>
        <v>12</v>
      </c>
      <c r="C784" s="99"/>
      <c r="D784" s="99"/>
      <c r="E784" s="99"/>
      <c r="F784" s="99"/>
      <c r="G784" s="103"/>
      <c r="H784" s="99"/>
      <c r="I784" s="97" t="str">
        <f t="shared" si="3"/>
        <v/>
      </c>
      <c r="J784" s="97"/>
      <c r="K784" s="97"/>
      <c r="L784" s="97"/>
      <c r="M784" s="97"/>
      <c r="N784" s="97"/>
      <c r="O784" s="97"/>
      <c r="P784" s="97"/>
    </row>
    <row r="785">
      <c r="A785" s="92">
        <f t="shared" si="1"/>
        <v>7</v>
      </c>
      <c r="B785" s="92">
        <f t="shared" si="2"/>
        <v>12</v>
      </c>
      <c r="C785" s="99"/>
      <c r="D785" s="99"/>
      <c r="E785" s="99"/>
      <c r="F785" s="99"/>
      <c r="G785" s="103"/>
      <c r="H785" s="99"/>
      <c r="I785" s="97" t="str">
        <f t="shared" si="3"/>
        <v/>
      </c>
      <c r="J785" s="97"/>
      <c r="K785" s="97"/>
      <c r="L785" s="97"/>
      <c r="M785" s="97"/>
      <c r="N785" s="97"/>
      <c r="O785" s="97"/>
      <c r="P785" s="97"/>
    </row>
    <row r="786">
      <c r="A786" s="92">
        <f t="shared" si="1"/>
        <v>7</v>
      </c>
      <c r="B786" s="92">
        <f t="shared" si="2"/>
        <v>12</v>
      </c>
      <c r="C786" s="99"/>
      <c r="D786" s="99"/>
      <c r="E786" s="99"/>
      <c r="F786" s="99"/>
      <c r="G786" s="103"/>
      <c r="H786" s="99"/>
      <c r="I786" s="97" t="str">
        <f t="shared" si="3"/>
        <v/>
      </c>
      <c r="J786" s="97"/>
      <c r="K786" s="97"/>
      <c r="L786" s="97"/>
      <c r="M786" s="97"/>
      <c r="N786" s="97"/>
      <c r="O786" s="97"/>
      <c r="P786" s="97"/>
    </row>
    <row r="787">
      <c r="A787" s="92">
        <f t="shared" si="1"/>
        <v>7</v>
      </c>
      <c r="B787" s="92">
        <f t="shared" si="2"/>
        <v>12</v>
      </c>
      <c r="C787" s="99"/>
      <c r="D787" s="99"/>
      <c r="E787" s="99"/>
      <c r="F787" s="99"/>
      <c r="G787" s="103"/>
      <c r="H787" s="99"/>
      <c r="I787" s="97" t="str">
        <f t="shared" si="3"/>
        <v/>
      </c>
      <c r="J787" s="97"/>
      <c r="K787" s="97"/>
      <c r="L787" s="97"/>
      <c r="M787" s="97"/>
      <c r="N787" s="97"/>
      <c r="O787" s="97"/>
      <c r="P787" s="97"/>
    </row>
    <row r="788">
      <c r="A788" s="92">
        <f t="shared" si="1"/>
        <v>7</v>
      </c>
      <c r="B788" s="92">
        <f t="shared" si="2"/>
        <v>12</v>
      </c>
      <c r="C788" s="99"/>
      <c r="D788" s="99"/>
      <c r="E788" s="99"/>
      <c r="F788" s="99"/>
      <c r="G788" s="103"/>
      <c r="H788" s="99"/>
      <c r="I788" s="97" t="str">
        <f t="shared" si="3"/>
        <v/>
      </c>
      <c r="J788" s="97"/>
      <c r="K788" s="97"/>
      <c r="L788" s="97"/>
      <c r="M788" s="97"/>
      <c r="N788" s="97"/>
      <c r="O788" s="97"/>
      <c r="P788" s="97"/>
    </row>
    <row r="789">
      <c r="A789" s="92">
        <f t="shared" si="1"/>
        <v>7</v>
      </c>
      <c r="B789" s="92">
        <f t="shared" si="2"/>
        <v>12</v>
      </c>
      <c r="C789" s="99"/>
      <c r="D789" s="99"/>
      <c r="E789" s="99"/>
      <c r="F789" s="99"/>
      <c r="G789" s="103"/>
      <c r="H789" s="99"/>
      <c r="I789" s="97" t="str">
        <f t="shared" si="3"/>
        <v/>
      </c>
      <c r="J789" s="97"/>
      <c r="K789" s="97"/>
      <c r="L789" s="97"/>
      <c r="M789" s="97"/>
      <c r="N789" s="97"/>
      <c r="O789" s="97"/>
      <c r="P789" s="97"/>
    </row>
    <row r="790">
      <c r="A790" s="92">
        <f t="shared" si="1"/>
        <v>7</v>
      </c>
      <c r="B790" s="92">
        <f t="shared" si="2"/>
        <v>12</v>
      </c>
      <c r="C790" s="99"/>
      <c r="D790" s="99"/>
      <c r="E790" s="99"/>
      <c r="F790" s="99"/>
      <c r="G790" s="103"/>
      <c r="H790" s="99"/>
      <c r="I790" s="97" t="str">
        <f t="shared" si="3"/>
        <v/>
      </c>
      <c r="J790" s="97"/>
      <c r="K790" s="97"/>
      <c r="L790" s="97"/>
      <c r="M790" s="97"/>
      <c r="N790" s="97"/>
      <c r="O790" s="97"/>
      <c r="P790" s="97"/>
    </row>
    <row r="791">
      <c r="A791" s="92">
        <f t="shared" si="1"/>
        <v>7</v>
      </c>
      <c r="B791" s="92">
        <f t="shared" si="2"/>
        <v>12</v>
      </c>
      <c r="C791" s="99"/>
      <c r="D791" s="99"/>
      <c r="E791" s="99"/>
      <c r="F791" s="99"/>
      <c r="G791" s="103"/>
      <c r="H791" s="99"/>
      <c r="I791" s="97" t="str">
        <f t="shared" si="3"/>
        <v/>
      </c>
      <c r="J791" s="97"/>
      <c r="K791" s="97"/>
      <c r="L791" s="97"/>
      <c r="M791" s="97"/>
      <c r="N791" s="97"/>
      <c r="O791" s="97"/>
      <c r="P791" s="97"/>
    </row>
    <row r="792">
      <c r="A792" s="92">
        <f t="shared" si="1"/>
        <v>7</v>
      </c>
      <c r="B792" s="92">
        <f t="shared" si="2"/>
        <v>12</v>
      </c>
      <c r="C792" s="99"/>
      <c r="D792" s="99"/>
      <c r="E792" s="99"/>
      <c r="F792" s="99"/>
      <c r="G792" s="103"/>
      <c r="H792" s="99"/>
      <c r="I792" s="97" t="str">
        <f t="shared" si="3"/>
        <v/>
      </c>
      <c r="J792" s="97"/>
      <c r="K792" s="97"/>
      <c r="L792" s="97"/>
      <c r="M792" s="97"/>
      <c r="N792" s="97"/>
      <c r="O792" s="97"/>
      <c r="P792" s="97"/>
    </row>
    <row r="793">
      <c r="A793" s="92">
        <f t="shared" si="1"/>
        <v>7</v>
      </c>
      <c r="B793" s="92">
        <f t="shared" si="2"/>
        <v>12</v>
      </c>
      <c r="C793" s="99"/>
      <c r="D793" s="99"/>
      <c r="E793" s="99"/>
      <c r="F793" s="99"/>
      <c r="G793" s="103"/>
      <c r="H793" s="99"/>
      <c r="I793" s="97" t="str">
        <f t="shared" si="3"/>
        <v/>
      </c>
      <c r="J793" s="97"/>
      <c r="K793" s="97"/>
      <c r="L793" s="97"/>
      <c r="M793" s="97"/>
      <c r="N793" s="97"/>
      <c r="O793" s="97"/>
      <c r="P793" s="97"/>
    </row>
    <row r="794">
      <c r="A794" s="92">
        <f t="shared" si="1"/>
        <v>7</v>
      </c>
      <c r="B794" s="92">
        <f t="shared" si="2"/>
        <v>12</v>
      </c>
      <c r="C794" s="99"/>
      <c r="D794" s="99"/>
      <c r="E794" s="99"/>
      <c r="F794" s="99"/>
      <c r="G794" s="103"/>
      <c r="H794" s="99"/>
      <c r="I794" s="97" t="str">
        <f t="shared" si="3"/>
        <v/>
      </c>
      <c r="J794" s="97"/>
      <c r="K794" s="97"/>
      <c r="L794" s="97"/>
      <c r="M794" s="97"/>
      <c r="N794" s="97"/>
      <c r="O794" s="97"/>
      <c r="P794" s="97"/>
    </row>
    <row r="795">
      <c r="A795" s="92">
        <f t="shared" si="1"/>
        <v>7</v>
      </c>
      <c r="B795" s="92">
        <f t="shared" si="2"/>
        <v>12</v>
      </c>
      <c r="C795" s="99"/>
      <c r="D795" s="99"/>
      <c r="E795" s="99"/>
      <c r="F795" s="99"/>
      <c r="G795" s="103"/>
      <c r="H795" s="99"/>
      <c r="I795" s="97" t="str">
        <f t="shared" si="3"/>
        <v/>
      </c>
      <c r="J795" s="97"/>
      <c r="K795" s="97"/>
      <c r="L795" s="97"/>
      <c r="M795" s="97"/>
      <c r="N795" s="97"/>
      <c r="O795" s="97"/>
      <c r="P795" s="97"/>
    </row>
    <row r="796">
      <c r="A796" s="92">
        <f t="shared" si="1"/>
        <v>7</v>
      </c>
      <c r="B796" s="92">
        <f t="shared" si="2"/>
        <v>12</v>
      </c>
      <c r="C796" s="99"/>
      <c r="D796" s="99"/>
      <c r="E796" s="99"/>
      <c r="F796" s="99"/>
      <c r="G796" s="103"/>
      <c r="H796" s="99"/>
      <c r="I796" s="97" t="str">
        <f t="shared" si="3"/>
        <v/>
      </c>
      <c r="J796" s="97"/>
      <c r="K796" s="97"/>
      <c r="L796" s="97"/>
      <c r="M796" s="97"/>
      <c r="N796" s="97"/>
      <c r="O796" s="97"/>
      <c r="P796" s="97"/>
    </row>
    <row r="797">
      <c r="A797" s="92">
        <f t="shared" si="1"/>
        <v>7</v>
      </c>
      <c r="B797" s="92">
        <f t="shared" si="2"/>
        <v>12</v>
      </c>
      <c r="C797" s="99"/>
      <c r="D797" s="99"/>
      <c r="E797" s="99"/>
      <c r="F797" s="99"/>
      <c r="G797" s="103"/>
      <c r="H797" s="99"/>
      <c r="I797" s="97" t="str">
        <f t="shared" si="3"/>
        <v/>
      </c>
      <c r="J797" s="97"/>
      <c r="K797" s="97"/>
      <c r="L797" s="97"/>
      <c r="M797" s="97"/>
      <c r="N797" s="97"/>
      <c r="O797" s="97"/>
      <c r="P797" s="97"/>
    </row>
    <row r="798">
      <c r="A798" s="92">
        <f t="shared" si="1"/>
        <v>7</v>
      </c>
      <c r="B798" s="92">
        <f t="shared" si="2"/>
        <v>12</v>
      </c>
      <c r="C798" s="99"/>
      <c r="D798" s="99"/>
      <c r="E798" s="99"/>
      <c r="F798" s="99"/>
      <c r="G798" s="103"/>
      <c r="H798" s="99"/>
      <c r="I798" s="97" t="str">
        <f t="shared" si="3"/>
        <v/>
      </c>
      <c r="J798" s="97"/>
      <c r="K798" s="97"/>
      <c r="L798" s="97"/>
      <c r="M798" s="97"/>
      <c r="N798" s="97"/>
      <c r="O798" s="97"/>
      <c r="P798" s="97"/>
    </row>
    <row r="799">
      <c r="A799" s="92">
        <f t="shared" si="1"/>
        <v>7</v>
      </c>
      <c r="B799" s="92">
        <f t="shared" si="2"/>
        <v>12</v>
      </c>
      <c r="C799" s="99"/>
      <c r="D799" s="99"/>
      <c r="E799" s="99"/>
      <c r="F799" s="99"/>
      <c r="G799" s="103"/>
      <c r="H799" s="99"/>
      <c r="I799" s="97" t="str">
        <f t="shared" si="3"/>
        <v/>
      </c>
      <c r="J799" s="97"/>
      <c r="K799" s="97"/>
      <c r="L799" s="97"/>
      <c r="M799" s="97"/>
      <c r="N799" s="97"/>
      <c r="O799" s="97"/>
      <c r="P799" s="97"/>
    </row>
    <row r="800">
      <c r="A800" s="92">
        <f t="shared" si="1"/>
        <v>7</v>
      </c>
      <c r="B800" s="92">
        <f t="shared" si="2"/>
        <v>12</v>
      </c>
      <c r="C800" s="99"/>
      <c r="D800" s="99"/>
      <c r="E800" s="99"/>
      <c r="F800" s="99"/>
      <c r="G800" s="103"/>
      <c r="H800" s="99"/>
      <c r="I800" s="97" t="str">
        <f t="shared" si="3"/>
        <v/>
      </c>
      <c r="J800" s="97"/>
      <c r="K800" s="97"/>
      <c r="L800" s="97"/>
      <c r="M800" s="97"/>
      <c r="N800" s="97"/>
      <c r="O800" s="97"/>
      <c r="P800" s="97"/>
    </row>
    <row r="801">
      <c r="A801" s="92">
        <f t="shared" si="1"/>
        <v>7</v>
      </c>
      <c r="B801" s="92">
        <f t="shared" si="2"/>
        <v>12</v>
      </c>
      <c r="C801" s="99"/>
      <c r="D801" s="99"/>
      <c r="E801" s="99"/>
      <c r="F801" s="99"/>
      <c r="G801" s="103"/>
      <c r="H801" s="99"/>
      <c r="I801" s="97" t="str">
        <f t="shared" si="3"/>
        <v/>
      </c>
      <c r="J801" s="97"/>
      <c r="K801" s="97"/>
      <c r="L801" s="97"/>
      <c r="M801" s="97"/>
      <c r="N801" s="97"/>
      <c r="O801" s="97"/>
      <c r="P801" s="97"/>
    </row>
    <row r="802">
      <c r="A802" s="92">
        <f t="shared" si="1"/>
        <v>7</v>
      </c>
      <c r="B802" s="92">
        <f t="shared" si="2"/>
        <v>12</v>
      </c>
      <c r="C802" s="99"/>
      <c r="D802" s="99"/>
      <c r="E802" s="99"/>
      <c r="F802" s="99"/>
      <c r="G802" s="103"/>
      <c r="H802" s="99"/>
      <c r="I802" s="97" t="str">
        <f t="shared" si="3"/>
        <v/>
      </c>
      <c r="J802" s="97"/>
      <c r="K802" s="97"/>
      <c r="L802" s="97"/>
      <c r="M802" s="97"/>
      <c r="N802" s="97"/>
      <c r="O802" s="97"/>
      <c r="P802" s="97"/>
    </row>
    <row r="803">
      <c r="A803" s="92">
        <f t="shared" si="1"/>
        <v>7</v>
      </c>
      <c r="B803" s="92">
        <f t="shared" si="2"/>
        <v>12</v>
      </c>
      <c r="C803" s="99"/>
      <c r="D803" s="99"/>
      <c r="E803" s="99"/>
      <c r="F803" s="99"/>
      <c r="G803" s="103"/>
      <c r="H803" s="99"/>
      <c r="I803" s="97" t="str">
        <f t="shared" si="3"/>
        <v/>
      </c>
      <c r="J803" s="97"/>
      <c r="K803" s="97"/>
      <c r="L803" s="97"/>
      <c r="M803" s="97"/>
      <c r="N803" s="97"/>
      <c r="O803" s="97"/>
      <c r="P803" s="97"/>
    </row>
    <row r="804">
      <c r="A804" s="92">
        <f t="shared" si="1"/>
        <v>7</v>
      </c>
      <c r="B804" s="92">
        <f t="shared" si="2"/>
        <v>12</v>
      </c>
      <c r="C804" s="99"/>
      <c r="D804" s="99"/>
      <c r="E804" s="99"/>
      <c r="F804" s="99"/>
      <c r="G804" s="103"/>
      <c r="H804" s="99"/>
      <c r="I804" s="97" t="str">
        <f t="shared" si="3"/>
        <v/>
      </c>
      <c r="J804" s="97"/>
      <c r="K804" s="97"/>
      <c r="L804" s="97"/>
      <c r="M804" s="97"/>
      <c r="N804" s="97"/>
      <c r="O804" s="97"/>
      <c r="P804" s="97"/>
    </row>
    <row r="805">
      <c r="A805" s="92">
        <f t="shared" si="1"/>
        <v>7</v>
      </c>
      <c r="B805" s="92">
        <f t="shared" si="2"/>
        <v>12</v>
      </c>
      <c r="C805" s="99"/>
      <c r="D805" s="99"/>
      <c r="E805" s="99"/>
      <c r="F805" s="99"/>
      <c r="G805" s="103"/>
      <c r="H805" s="99"/>
      <c r="I805" s="97" t="str">
        <f t="shared" si="3"/>
        <v/>
      </c>
      <c r="J805" s="97"/>
      <c r="K805" s="97"/>
      <c r="L805" s="97"/>
      <c r="M805" s="97"/>
      <c r="N805" s="97"/>
      <c r="O805" s="97"/>
      <c r="P805" s="97"/>
    </row>
    <row r="806">
      <c r="A806" s="92">
        <f t="shared" si="1"/>
        <v>7</v>
      </c>
      <c r="B806" s="92">
        <f t="shared" si="2"/>
        <v>12</v>
      </c>
      <c r="C806" s="99"/>
      <c r="D806" s="99"/>
      <c r="E806" s="99"/>
      <c r="F806" s="99"/>
      <c r="G806" s="103"/>
      <c r="H806" s="99"/>
      <c r="I806" s="97" t="str">
        <f t="shared" si="3"/>
        <v/>
      </c>
      <c r="J806" s="97"/>
      <c r="K806" s="97"/>
      <c r="L806" s="97"/>
      <c r="M806" s="97"/>
      <c r="N806" s="97"/>
      <c r="O806" s="97"/>
      <c r="P806" s="97"/>
    </row>
    <row r="807">
      <c r="A807" s="92">
        <f t="shared" si="1"/>
        <v>7</v>
      </c>
      <c r="B807" s="92">
        <f t="shared" si="2"/>
        <v>12</v>
      </c>
      <c r="C807" s="99"/>
      <c r="D807" s="99"/>
      <c r="E807" s="99"/>
      <c r="F807" s="99"/>
      <c r="G807" s="103"/>
      <c r="H807" s="99"/>
      <c r="I807" s="97" t="str">
        <f t="shared" si="3"/>
        <v/>
      </c>
      <c r="J807" s="97"/>
      <c r="K807" s="97"/>
      <c r="L807" s="97"/>
      <c r="M807" s="97"/>
      <c r="N807" s="97"/>
      <c r="O807" s="97"/>
      <c r="P807" s="97"/>
    </row>
    <row r="808">
      <c r="A808" s="92">
        <f t="shared" si="1"/>
        <v>7</v>
      </c>
      <c r="B808" s="92">
        <f t="shared" si="2"/>
        <v>12</v>
      </c>
      <c r="C808" s="99"/>
      <c r="D808" s="99"/>
      <c r="E808" s="99"/>
      <c r="F808" s="99"/>
      <c r="G808" s="103"/>
      <c r="H808" s="99"/>
      <c r="I808" s="97" t="str">
        <f t="shared" si="3"/>
        <v/>
      </c>
      <c r="J808" s="97"/>
      <c r="K808" s="97"/>
      <c r="L808" s="97"/>
      <c r="M808" s="97"/>
      <c r="N808" s="97"/>
      <c r="O808" s="97"/>
      <c r="P808" s="97"/>
    </row>
    <row r="809">
      <c r="A809" s="92">
        <f t="shared" si="1"/>
        <v>7</v>
      </c>
      <c r="B809" s="92">
        <f t="shared" si="2"/>
        <v>12</v>
      </c>
      <c r="C809" s="99"/>
      <c r="D809" s="99"/>
      <c r="E809" s="99"/>
      <c r="F809" s="99"/>
      <c r="G809" s="103"/>
      <c r="H809" s="99"/>
      <c r="I809" s="97" t="str">
        <f t="shared" si="3"/>
        <v/>
      </c>
      <c r="J809" s="97"/>
      <c r="K809" s="97"/>
      <c r="L809" s="97"/>
      <c r="M809" s="97"/>
      <c r="N809" s="97"/>
      <c r="O809" s="97"/>
      <c r="P809" s="97"/>
    </row>
    <row r="810">
      <c r="A810" s="92">
        <f t="shared" si="1"/>
        <v>7</v>
      </c>
      <c r="B810" s="92">
        <f t="shared" si="2"/>
        <v>12</v>
      </c>
      <c r="C810" s="99"/>
      <c r="D810" s="99"/>
      <c r="E810" s="99"/>
      <c r="F810" s="99"/>
      <c r="G810" s="103"/>
      <c r="H810" s="99"/>
      <c r="I810" s="97" t="str">
        <f t="shared" si="3"/>
        <v/>
      </c>
      <c r="J810" s="97"/>
      <c r="K810" s="97"/>
      <c r="L810" s="97"/>
      <c r="M810" s="97"/>
      <c r="N810" s="97"/>
      <c r="O810" s="97"/>
      <c r="P810" s="97"/>
    </row>
    <row r="811">
      <c r="A811" s="92">
        <f t="shared" si="1"/>
        <v>7</v>
      </c>
      <c r="B811" s="92">
        <f t="shared" si="2"/>
        <v>12</v>
      </c>
      <c r="C811" s="99"/>
      <c r="D811" s="99"/>
      <c r="E811" s="99"/>
      <c r="F811" s="99"/>
      <c r="G811" s="103"/>
      <c r="H811" s="99"/>
      <c r="I811" s="97" t="str">
        <f t="shared" si="3"/>
        <v/>
      </c>
      <c r="J811" s="97"/>
      <c r="K811" s="97"/>
      <c r="L811" s="97"/>
      <c r="M811" s="97"/>
      <c r="N811" s="97"/>
      <c r="O811" s="97"/>
      <c r="P811" s="97"/>
    </row>
    <row r="812">
      <c r="A812" s="92">
        <f t="shared" si="1"/>
        <v>7</v>
      </c>
      <c r="B812" s="92">
        <f t="shared" si="2"/>
        <v>12</v>
      </c>
      <c r="C812" s="99"/>
      <c r="D812" s="99"/>
      <c r="E812" s="99"/>
      <c r="F812" s="99"/>
      <c r="G812" s="103"/>
      <c r="H812" s="99"/>
      <c r="I812" s="97" t="str">
        <f t="shared" si="3"/>
        <v/>
      </c>
      <c r="J812" s="97"/>
      <c r="K812" s="97"/>
      <c r="L812" s="97"/>
      <c r="M812" s="97"/>
      <c r="N812" s="97"/>
      <c r="O812" s="97"/>
      <c r="P812" s="97"/>
    </row>
    <row r="813">
      <c r="A813" s="92">
        <f t="shared" si="1"/>
        <v>7</v>
      </c>
      <c r="B813" s="92">
        <f t="shared" si="2"/>
        <v>12</v>
      </c>
      <c r="C813" s="99"/>
      <c r="D813" s="99"/>
      <c r="E813" s="99"/>
      <c r="F813" s="99"/>
      <c r="G813" s="103"/>
      <c r="H813" s="99"/>
      <c r="I813" s="97" t="str">
        <f t="shared" si="3"/>
        <v/>
      </c>
      <c r="J813" s="97"/>
      <c r="K813" s="97"/>
      <c r="L813" s="97"/>
      <c r="M813" s="97"/>
      <c r="N813" s="97"/>
      <c r="O813" s="97"/>
      <c r="P813" s="97"/>
    </row>
    <row r="814">
      <c r="A814" s="92">
        <f t="shared" si="1"/>
        <v>7</v>
      </c>
      <c r="B814" s="92">
        <f t="shared" si="2"/>
        <v>12</v>
      </c>
      <c r="C814" s="99"/>
      <c r="D814" s="99"/>
      <c r="E814" s="99"/>
      <c r="F814" s="99"/>
      <c r="G814" s="103"/>
      <c r="H814" s="99"/>
      <c r="I814" s="97" t="str">
        <f t="shared" si="3"/>
        <v/>
      </c>
      <c r="J814" s="97"/>
      <c r="K814" s="97"/>
      <c r="L814" s="97"/>
      <c r="M814" s="97"/>
      <c r="N814" s="97"/>
      <c r="O814" s="97"/>
      <c r="P814" s="97"/>
    </row>
    <row r="815">
      <c r="A815" s="92">
        <f t="shared" si="1"/>
        <v>7</v>
      </c>
      <c r="B815" s="92">
        <f t="shared" si="2"/>
        <v>12</v>
      </c>
      <c r="C815" s="99"/>
      <c r="D815" s="99"/>
      <c r="E815" s="99"/>
      <c r="F815" s="99"/>
      <c r="G815" s="103"/>
      <c r="H815" s="99"/>
      <c r="I815" s="97" t="str">
        <f t="shared" si="3"/>
        <v/>
      </c>
      <c r="J815" s="97"/>
      <c r="K815" s="97"/>
      <c r="L815" s="97"/>
      <c r="M815" s="97"/>
      <c r="N815" s="97"/>
      <c r="O815" s="97"/>
      <c r="P815" s="97"/>
    </row>
    <row r="816">
      <c r="A816" s="92">
        <f t="shared" si="1"/>
        <v>7</v>
      </c>
      <c r="B816" s="92">
        <f t="shared" si="2"/>
        <v>12</v>
      </c>
      <c r="C816" s="99"/>
      <c r="D816" s="99"/>
      <c r="E816" s="99"/>
      <c r="F816" s="99"/>
      <c r="G816" s="103"/>
      <c r="H816" s="99"/>
      <c r="I816" s="97" t="str">
        <f t="shared" si="3"/>
        <v/>
      </c>
      <c r="J816" s="97"/>
      <c r="K816" s="97"/>
      <c r="L816" s="97"/>
      <c r="M816" s="97"/>
      <c r="N816" s="97"/>
      <c r="O816" s="97"/>
      <c r="P816" s="97"/>
    </row>
    <row r="817">
      <c r="A817" s="92">
        <f t="shared" si="1"/>
        <v>7</v>
      </c>
      <c r="B817" s="92">
        <f t="shared" si="2"/>
        <v>12</v>
      </c>
      <c r="C817" s="99"/>
      <c r="D817" s="99"/>
      <c r="E817" s="99"/>
      <c r="F817" s="99"/>
      <c r="G817" s="103"/>
      <c r="H817" s="99"/>
      <c r="I817" s="97" t="str">
        <f t="shared" si="3"/>
        <v/>
      </c>
      <c r="J817" s="97"/>
      <c r="K817" s="97"/>
      <c r="L817" s="97"/>
      <c r="M817" s="97"/>
      <c r="N817" s="97"/>
      <c r="O817" s="97"/>
      <c r="P817" s="97"/>
    </row>
    <row r="818">
      <c r="A818" s="92">
        <f t="shared" si="1"/>
        <v>7</v>
      </c>
      <c r="B818" s="92">
        <f t="shared" si="2"/>
        <v>12</v>
      </c>
      <c r="C818" s="99"/>
      <c r="D818" s="99"/>
      <c r="E818" s="99"/>
      <c r="F818" s="99"/>
      <c r="G818" s="103"/>
      <c r="H818" s="99"/>
      <c r="I818" s="97" t="str">
        <f t="shared" si="3"/>
        <v/>
      </c>
      <c r="J818" s="97"/>
      <c r="K818" s="97"/>
      <c r="L818" s="97"/>
      <c r="M818" s="97"/>
      <c r="N818" s="97"/>
      <c r="O818" s="97"/>
      <c r="P818" s="97"/>
    </row>
    <row r="819">
      <c r="A819" s="92">
        <f t="shared" si="1"/>
        <v>7</v>
      </c>
      <c r="B819" s="92">
        <f t="shared" si="2"/>
        <v>12</v>
      </c>
      <c r="C819" s="99"/>
      <c r="D819" s="99"/>
      <c r="E819" s="99"/>
      <c r="F819" s="99"/>
      <c r="G819" s="103"/>
      <c r="H819" s="99"/>
      <c r="I819" s="97" t="str">
        <f t="shared" si="3"/>
        <v/>
      </c>
      <c r="J819" s="97"/>
      <c r="K819" s="97"/>
      <c r="L819" s="97"/>
      <c r="M819" s="97"/>
      <c r="N819" s="97"/>
      <c r="O819" s="97"/>
      <c r="P819" s="97"/>
    </row>
    <row r="820">
      <c r="A820" s="92">
        <f t="shared" si="1"/>
        <v>7</v>
      </c>
      <c r="B820" s="92">
        <f t="shared" si="2"/>
        <v>12</v>
      </c>
      <c r="C820" s="99"/>
      <c r="D820" s="99"/>
      <c r="E820" s="99"/>
      <c r="F820" s="99"/>
      <c r="G820" s="103"/>
      <c r="H820" s="99"/>
      <c r="I820" s="97" t="str">
        <f t="shared" si="3"/>
        <v/>
      </c>
      <c r="J820" s="97"/>
      <c r="K820" s="97"/>
      <c r="L820" s="97"/>
      <c r="M820" s="97"/>
      <c r="N820" s="97"/>
      <c r="O820" s="97"/>
      <c r="P820" s="97"/>
    </row>
    <row r="821">
      <c r="A821" s="92">
        <f t="shared" si="1"/>
        <v>7</v>
      </c>
      <c r="B821" s="92">
        <f t="shared" si="2"/>
        <v>12</v>
      </c>
      <c r="C821" s="99"/>
      <c r="D821" s="99"/>
      <c r="E821" s="99"/>
      <c r="F821" s="99"/>
      <c r="G821" s="103"/>
      <c r="H821" s="99"/>
      <c r="I821" s="97" t="str">
        <f t="shared" si="3"/>
        <v/>
      </c>
      <c r="J821" s="97"/>
      <c r="K821" s="97"/>
      <c r="L821" s="97"/>
      <c r="M821" s="97"/>
      <c r="N821" s="97"/>
      <c r="O821" s="97"/>
      <c r="P821" s="97"/>
    </row>
    <row r="822">
      <c r="A822" s="92">
        <f t="shared" si="1"/>
        <v>7</v>
      </c>
      <c r="B822" s="92">
        <f t="shared" si="2"/>
        <v>12</v>
      </c>
      <c r="C822" s="99"/>
      <c r="D822" s="99"/>
      <c r="E822" s="99"/>
      <c r="F822" s="99"/>
      <c r="G822" s="103"/>
      <c r="H822" s="99"/>
      <c r="I822" s="97" t="str">
        <f t="shared" si="3"/>
        <v/>
      </c>
      <c r="J822" s="97"/>
      <c r="K822" s="97"/>
      <c r="L822" s="97"/>
      <c r="M822" s="97"/>
      <c r="N822" s="97"/>
      <c r="O822" s="97"/>
      <c r="P822" s="97"/>
    </row>
    <row r="823">
      <c r="A823" s="92">
        <f t="shared" si="1"/>
        <v>7</v>
      </c>
      <c r="B823" s="92">
        <f t="shared" si="2"/>
        <v>12</v>
      </c>
      <c r="C823" s="99"/>
      <c r="D823" s="99"/>
      <c r="E823" s="99"/>
      <c r="F823" s="99"/>
      <c r="G823" s="103"/>
      <c r="H823" s="99"/>
      <c r="I823" s="97" t="str">
        <f t="shared" si="3"/>
        <v/>
      </c>
      <c r="J823" s="97"/>
      <c r="K823" s="97"/>
      <c r="L823" s="97"/>
      <c r="M823" s="97"/>
      <c r="N823" s="97"/>
      <c r="O823" s="97"/>
      <c r="P823" s="97"/>
    </row>
    <row r="824">
      <c r="A824" s="92">
        <f t="shared" si="1"/>
        <v>7</v>
      </c>
      <c r="B824" s="92">
        <f t="shared" si="2"/>
        <v>12</v>
      </c>
      <c r="C824" s="99"/>
      <c r="D824" s="99"/>
      <c r="E824" s="99"/>
      <c r="F824" s="99"/>
      <c r="G824" s="103"/>
      <c r="H824" s="99"/>
      <c r="I824" s="97" t="str">
        <f t="shared" si="3"/>
        <v/>
      </c>
      <c r="J824" s="97"/>
      <c r="K824" s="97"/>
      <c r="L824" s="97"/>
      <c r="M824" s="97"/>
      <c r="N824" s="97"/>
      <c r="O824" s="97"/>
      <c r="P824" s="97"/>
    </row>
    <row r="825">
      <c r="A825" s="92">
        <f t="shared" si="1"/>
        <v>7</v>
      </c>
      <c r="B825" s="92">
        <f t="shared" si="2"/>
        <v>12</v>
      </c>
      <c r="C825" s="99"/>
      <c r="D825" s="99"/>
      <c r="E825" s="99"/>
      <c r="F825" s="99"/>
      <c r="G825" s="103"/>
      <c r="H825" s="99"/>
      <c r="I825" s="97" t="str">
        <f t="shared" si="3"/>
        <v/>
      </c>
      <c r="J825" s="97"/>
      <c r="K825" s="97"/>
      <c r="L825" s="97"/>
      <c r="M825" s="97"/>
      <c r="N825" s="97"/>
      <c r="O825" s="97"/>
      <c r="P825" s="97"/>
    </row>
    <row r="826">
      <c r="A826" s="92">
        <f t="shared" si="1"/>
        <v>7</v>
      </c>
      <c r="B826" s="92">
        <f t="shared" si="2"/>
        <v>12</v>
      </c>
      <c r="C826" s="99"/>
      <c r="D826" s="99"/>
      <c r="E826" s="99"/>
      <c r="F826" s="99"/>
      <c r="G826" s="103"/>
      <c r="H826" s="99"/>
      <c r="I826" s="97" t="str">
        <f t="shared" si="3"/>
        <v/>
      </c>
      <c r="J826" s="97"/>
      <c r="K826" s="97"/>
      <c r="L826" s="97"/>
      <c r="M826" s="97"/>
      <c r="N826" s="97"/>
      <c r="O826" s="97"/>
      <c r="P826" s="97"/>
    </row>
    <row r="827">
      <c r="A827" s="92">
        <f t="shared" si="1"/>
        <v>7</v>
      </c>
      <c r="B827" s="92">
        <f t="shared" si="2"/>
        <v>12</v>
      </c>
      <c r="C827" s="99"/>
      <c r="D827" s="99"/>
      <c r="E827" s="99"/>
      <c r="F827" s="99"/>
      <c r="G827" s="103"/>
      <c r="H827" s="99"/>
      <c r="I827" s="97" t="str">
        <f t="shared" si="3"/>
        <v/>
      </c>
      <c r="J827" s="97"/>
      <c r="K827" s="97"/>
      <c r="L827" s="97"/>
      <c r="M827" s="97"/>
      <c r="N827" s="97"/>
      <c r="O827" s="97"/>
      <c r="P827" s="97"/>
    </row>
    <row r="828">
      <c r="A828" s="92">
        <f t="shared" si="1"/>
        <v>7</v>
      </c>
      <c r="B828" s="92">
        <f t="shared" si="2"/>
        <v>12</v>
      </c>
      <c r="C828" s="99"/>
      <c r="D828" s="99"/>
      <c r="E828" s="99"/>
      <c r="F828" s="99"/>
      <c r="G828" s="103"/>
      <c r="H828" s="99"/>
      <c r="I828" s="97" t="str">
        <f t="shared" si="3"/>
        <v/>
      </c>
      <c r="J828" s="97"/>
      <c r="K828" s="97"/>
      <c r="L828" s="97"/>
      <c r="M828" s="97"/>
      <c r="N828" s="97"/>
      <c r="O828" s="97"/>
      <c r="P828" s="97"/>
    </row>
    <row r="829">
      <c r="A829" s="92">
        <f t="shared" si="1"/>
        <v>7</v>
      </c>
      <c r="B829" s="92">
        <f t="shared" si="2"/>
        <v>12</v>
      </c>
      <c r="C829" s="99"/>
      <c r="D829" s="99"/>
      <c r="E829" s="99"/>
      <c r="F829" s="99"/>
      <c r="G829" s="103"/>
      <c r="H829" s="99"/>
      <c r="I829" s="97" t="str">
        <f t="shared" si="3"/>
        <v/>
      </c>
      <c r="J829" s="97"/>
      <c r="K829" s="97"/>
      <c r="L829" s="97"/>
      <c r="M829" s="97"/>
      <c r="N829" s="97"/>
      <c r="O829" s="97"/>
      <c r="P829" s="97"/>
    </row>
    <row r="830">
      <c r="A830" s="92">
        <f t="shared" si="1"/>
        <v>7</v>
      </c>
      <c r="B830" s="92">
        <f t="shared" si="2"/>
        <v>12</v>
      </c>
      <c r="C830" s="99"/>
      <c r="D830" s="99"/>
      <c r="E830" s="99"/>
      <c r="F830" s="99"/>
      <c r="G830" s="103"/>
      <c r="H830" s="99"/>
      <c r="I830" s="97" t="str">
        <f t="shared" si="3"/>
        <v/>
      </c>
      <c r="J830" s="97"/>
      <c r="K830" s="97"/>
      <c r="L830" s="97"/>
      <c r="M830" s="97"/>
      <c r="N830" s="97"/>
      <c r="O830" s="97"/>
      <c r="P830" s="97"/>
    </row>
    <row r="831">
      <c r="A831" s="92">
        <f t="shared" si="1"/>
        <v>7</v>
      </c>
      <c r="B831" s="92">
        <f t="shared" si="2"/>
        <v>12</v>
      </c>
      <c r="C831" s="99"/>
      <c r="D831" s="99"/>
      <c r="E831" s="99"/>
      <c r="F831" s="99"/>
      <c r="G831" s="103"/>
      <c r="H831" s="99"/>
      <c r="I831" s="97" t="str">
        <f t="shared" si="3"/>
        <v/>
      </c>
      <c r="J831" s="97"/>
      <c r="K831" s="97"/>
      <c r="L831" s="97"/>
      <c r="M831" s="97"/>
      <c r="N831" s="97"/>
      <c r="O831" s="97"/>
      <c r="P831" s="97"/>
    </row>
    <row r="832">
      <c r="A832" s="92">
        <f t="shared" si="1"/>
        <v>7</v>
      </c>
      <c r="B832" s="92">
        <f t="shared" si="2"/>
        <v>12</v>
      </c>
      <c r="C832" s="99"/>
      <c r="D832" s="99"/>
      <c r="E832" s="99"/>
      <c r="F832" s="99"/>
      <c r="G832" s="103"/>
      <c r="H832" s="99"/>
      <c r="I832" s="97" t="str">
        <f t="shared" si="3"/>
        <v/>
      </c>
      <c r="J832" s="97"/>
      <c r="K832" s="97"/>
      <c r="L832" s="97"/>
      <c r="M832" s="97"/>
      <c r="N832" s="97"/>
      <c r="O832" s="97"/>
      <c r="P832" s="97"/>
    </row>
    <row r="833">
      <c r="A833" s="92">
        <f t="shared" si="1"/>
        <v>7</v>
      </c>
      <c r="B833" s="92">
        <f t="shared" si="2"/>
        <v>12</v>
      </c>
      <c r="C833" s="99"/>
      <c r="D833" s="99"/>
      <c r="E833" s="99"/>
      <c r="F833" s="99"/>
      <c r="G833" s="103"/>
      <c r="H833" s="99"/>
      <c r="I833" s="97" t="str">
        <f t="shared" si="3"/>
        <v/>
      </c>
      <c r="J833" s="97"/>
      <c r="K833" s="97"/>
      <c r="L833" s="97"/>
      <c r="M833" s="97"/>
      <c r="N833" s="97"/>
      <c r="O833" s="97"/>
      <c r="P833" s="97"/>
    </row>
    <row r="834">
      <c r="A834" s="92">
        <f t="shared" si="1"/>
        <v>7</v>
      </c>
      <c r="B834" s="92">
        <f t="shared" si="2"/>
        <v>12</v>
      </c>
      <c r="C834" s="99"/>
      <c r="D834" s="99"/>
      <c r="E834" s="99"/>
      <c r="F834" s="99"/>
      <c r="G834" s="103"/>
      <c r="H834" s="99"/>
      <c r="I834" s="97" t="str">
        <f t="shared" si="3"/>
        <v/>
      </c>
      <c r="J834" s="97"/>
      <c r="K834" s="97"/>
      <c r="L834" s="97"/>
      <c r="M834" s="97"/>
      <c r="N834" s="97"/>
      <c r="O834" s="97"/>
      <c r="P834" s="97"/>
    </row>
    <row r="835">
      <c r="A835" s="92">
        <f t="shared" si="1"/>
        <v>7</v>
      </c>
      <c r="B835" s="92">
        <f t="shared" si="2"/>
        <v>12</v>
      </c>
      <c r="C835" s="99"/>
      <c r="D835" s="99"/>
      <c r="E835" s="99"/>
      <c r="F835" s="99"/>
      <c r="G835" s="103"/>
      <c r="H835" s="99"/>
      <c r="I835" s="97" t="str">
        <f t="shared" si="3"/>
        <v/>
      </c>
      <c r="J835" s="97"/>
      <c r="K835" s="97"/>
      <c r="L835" s="97"/>
      <c r="M835" s="97"/>
      <c r="N835" s="97"/>
      <c r="O835" s="97"/>
      <c r="P835" s="97"/>
    </row>
    <row r="836">
      <c r="A836" s="92">
        <f t="shared" si="1"/>
        <v>7</v>
      </c>
      <c r="B836" s="92">
        <f t="shared" si="2"/>
        <v>12</v>
      </c>
      <c r="C836" s="99"/>
      <c r="D836" s="99"/>
      <c r="E836" s="99"/>
      <c r="F836" s="99"/>
      <c r="G836" s="103"/>
      <c r="H836" s="99"/>
      <c r="I836" s="97" t="str">
        <f t="shared" si="3"/>
        <v/>
      </c>
      <c r="J836" s="97"/>
      <c r="K836" s="97"/>
      <c r="L836" s="97"/>
      <c r="M836" s="97"/>
      <c r="N836" s="97"/>
      <c r="O836" s="97"/>
      <c r="P836" s="97"/>
    </row>
    <row r="837">
      <c r="A837" s="92">
        <f t="shared" si="1"/>
        <v>7</v>
      </c>
      <c r="B837" s="92">
        <f t="shared" si="2"/>
        <v>12</v>
      </c>
      <c r="C837" s="99"/>
      <c r="D837" s="99"/>
      <c r="E837" s="99"/>
      <c r="F837" s="99"/>
      <c r="G837" s="103"/>
      <c r="H837" s="99"/>
      <c r="I837" s="97" t="str">
        <f t="shared" si="3"/>
        <v/>
      </c>
      <c r="J837" s="97"/>
      <c r="K837" s="97"/>
      <c r="L837" s="97"/>
      <c r="M837" s="97"/>
      <c r="N837" s="97"/>
      <c r="O837" s="97"/>
      <c r="P837" s="97"/>
    </row>
    <row r="838">
      <c r="A838" s="92">
        <f t="shared" si="1"/>
        <v>7</v>
      </c>
      <c r="B838" s="92">
        <f t="shared" si="2"/>
        <v>12</v>
      </c>
      <c r="C838" s="99"/>
      <c r="D838" s="99"/>
      <c r="E838" s="99"/>
      <c r="F838" s="99"/>
      <c r="G838" s="103"/>
      <c r="H838" s="99"/>
      <c r="I838" s="97" t="str">
        <f t="shared" si="3"/>
        <v/>
      </c>
      <c r="J838" s="97"/>
      <c r="K838" s="97"/>
      <c r="L838" s="97"/>
      <c r="M838" s="97"/>
      <c r="N838" s="97"/>
      <c r="O838" s="97"/>
      <c r="P838" s="97"/>
    </row>
    <row r="839">
      <c r="A839" s="92">
        <f t="shared" si="1"/>
        <v>7</v>
      </c>
      <c r="B839" s="92">
        <f t="shared" si="2"/>
        <v>12</v>
      </c>
      <c r="C839" s="99"/>
      <c r="D839" s="99"/>
      <c r="E839" s="99"/>
      <c r="F839" s="99"/>
      <c r="G839" s="103"/>
      <c r="H839" s="99"/>
      <c r="I839" s="97" t="str">
        <f t="shared" si="3"/>
        <v/>
      </c>
      <c r="J839" s="97"/>
      <c r="K839" s="97"/>
      <c r="L839" s="97"/>
      <c r="M839" s="97"/>
      <c r="N839" s="97"/>
      <c r="O839" s="97"/>
      <c r="P839" s="97"/>
    </row>
    <row r="840">
      <c r="A840" s="92">
        <f t="shared" si="1"/>
        <v>7</v>
      </c>
      <c r="B840" s="92">
        <f t="shared" si="2"/>
        <v>12</v>
      </c>
      <c r="C840" s="99"/>
      <c r="D840" s="99"/>
      <c r="E840" s="99"/>
      <c r="F840" s="99"/>
      <c r="G840" s="103"/>
      <c r="H840" s="99"/>
      <c r="I840" s="97" t="str">
        <f t="shared" si="3"/>
        <v/>
      </c>
      <c r="J840" s="97"/>
      <c r="K840" s="97"/>
      <c r="L840" s="97"/>
      <c r="M840" s="97"/>
      <c r="N840" s="97"/>
      <c r="O840" s="97"/>
      <c r="P840" s="97"/>
    </row>
    <row r="841">
      <c r="A841" s="92">
        <f t="shared" si="1"/>
        <v>7</v>
      </c>
      <c r="B841" s="92">
        <f t="shared" si="2"/>
        <v>12</v>
      </c>
      <c r="C841" s="99"/>
      <c r="D841" s="99"/>
      <c r="E841" s="99"/>
      <c r="F841" s="99"/>
      <c r="G841" s="103"/>
      <c r="H841" s="99"/>
      <c r="I841" s="97" t="str">
        <f t="shared" si="3"/>
        <v/>
      </c>
      <c r="J841" s="97"/>
      <c r="K841" s="97"/>
      <c r="L841" s="97"/>
      <c r="M841" s="97"/>
      <c r="N841" s="97"/>
      <c r="O841" s="97"/>
      <c r="P841" s="97"/>
    </row>
    <row r="842">
      <c r="A842" s="92">
        <f t="shared" si="1"/>
        <v>7</v>
      </c>
      <c r="B842" s="92">
        <f t="shared" si="2"/>
        <v>12</v>
      </c>
      <c r="C842" s="99"/>
      <c r="D842" s="99"/>
      <c r="E842" s="99"/>
      <c r="F842" s="99"/>
      <c r="G842" s="103"/>
      <c r="H842" s="99"/>
      <c r="I842" s="97" t="str">
        <f t="shared" si="3"/>
        <v/>
      </c>
      <c r="J842" s="97"/>
      <c r="K842" s="97"/>
      <c r="L842" s="97"/>
      <c r="M842" s="97"/>
      <c r="N842" s="97"/>
      <c r="O842" s="97"/>
      <c r="P842" s="97"/>
    </row>
    <row r="843">
      <c r="A843" s="92">
        <f t="shared" si="1"/>
        <v>7</v>
      </c>
      <c r="B843" s="92">
        <f t="shared" si="2"/>
        <v>12</v>
      </c>
      <c r="C843" s="99"/>
      <c r="D843" s="99"/>
      <c r="E843" s="99"/>
      <c r="F843" s="99"/>
      <c r="G843" s="103"/>
      <c r="H843" s="99"/>
      <c r="I843" s="97" t="str">
        <f t="shared" si="3"/>
        <v/>
      </c>
      <c r="J843" s="97"/>
      <c r="K843" s="97"/>
      <c r="L843" s="97"/>
      <c r="M843" s="97"/>
      <c r="N843" s="97"/>
      <c r="O843" s="97"/>
      <c r="P843" s="97"/>
    </row>
    <row r="844">
      <c r="A844" s="92">
        <f t="shared" si="1"/>
        <v>7</v>
      </c>
      <c r="B844" s="92">
        <f t="shared" si="2"/>
        <v>12</v>
      </c>
      <c r="C844" s="99"/>
      <c r="D844" s="99"/>
      <c r="E844" s="99"/>
      <c r="F844" s="99"/>
      <c r="G844" s="103"/>
      <c r="H844" s="99"/>
      <c r="I844" s="97" t="str">
        <f t="shared" si="3"/>
        <v/>
      </c>
      <c r="J844" s="97"/>
      <c r="K844" s="97"/>
      <c r="L844" s="97"/>
      <c r="M844" s="97"/>
      <c r="N844" s="97"/>
      <c r="O844" s="97"/>
      <c r="P844" s="97"/>
    </row>
    <row r="845">
      <c r="A845" s="92">
        <f t="shared" si="1"/>
        <v>7</v>
      </c>
      <c r="B845" s="92">
        <f t="shared" si="2"/>
        <v>12</v>
      </c>
      <c r="C845" s="99"/>
      <c r="D845" s="99"/>
      <c r="E845" s="99"/>
      <c r="F845" s="99"/>
      <c r="G845" s="103"/>
      <c r="H845" s="99"/>
      <c r="I845" s="97" t="str">
        <f t="shared" si="3"/>
        <v/>
      </c>
      <c r="J845" s="97"/>
      <c r="K845" s="97"/>
      <c r="L845" s="97"/>
      <c r="M845" s="97"/>
      <c r="N845" s="97"/>
      <c r="O845" s="97"/>
      <c r="P845" s="97"/>
    </row>
    <row r="846">
      <c r="A846" s="92">
        <f t="shared" si="1"/>
        <v>7</v>
      </c>
      <c r="B846" s="92">
        <f t="shared" si="2"/>
        <v>12</v>
      </c>
      <c r="C846" s="99"/>
      <c r="D846" s="99"/>
      <c r="E846" s="99"/>
      <c r="F846" s="99"/>
      <c r="G846" s="103"/>
      <c r="H846" s="99"/>
      <c r="I846" s="97" t="str">
        <f t="shared" si="3"/>
        <v/>
      </c>
      <c r="J846" s="97"/>
      <c r="K846" s="97"/>
      <c r="L846" s="97"/>
      <c r="M846" s="97"/>
      <c r="N846" s="97"/>
      <c r="O846" s="97"/>
      <c r="P846" s="97"/>
    </row>
    <row r="847">
      <c r="A847" s="92">
        <f t="shared" si="1"/>
        <v>7</v>
      </c>
      <c r="B847" s="92">
        <f t="shared" si="2"/>
        <v>12</v>
      </c>
      <c r="C847" s="99"/>
      <c r="D847" s="99"/>
      <c r="E847" s="99"/>
      <c r="F847" s="99"/>
      <c r="G847" s="103"/>
      <c r="H847" s="99"/>
      <c r="I847" s="97" t="str">
        <f t="shared" si="3"/>
        <v/>
      </c>
      <c r="J847" s="97"/>
      <c r="K847" s="97"/>
      <c r="L847" s="97"/>
      <c r="M847" s="97"/>
      <c r="N847" s="97"/>
      <c r="O847" s="97"/>
      <c r="P847" s="97"/>
    </row>
    <row r="848">
      <c r="A848" s="92">
        <f t="shared" si="1"/>
        <v>7</v>
      </c>
      <c r="B848" s="92">
        <f t="shared" si="2"/>
        <v>12</v>
      </c>
      <c r="C848" s="99"/>
      <c r="D848" s="99"/>
      <c r="E848" s="99"/>
      <c r="F848" s="99"/>
      <c r="G848" s="103"/>
      <c r="H848" s="99"/>
      <c r="I848" s="97" t="str">
        <f t="shared" si="3"/>
        <v/>
      </c>
      <c r="J848" s="97"/>
      <c r="K848" s="97"/>
      <c r="L848" s="97"/>
      <c r="M848" s="97"/>
      <c r="N848" s="97"/>
      <c r="O848" s="97"/>
      <c r="P848" s="97"/>
    </row>
    <row r="849">
      <c r="A849" s="92">
        <f t="shared" si="1"/>
        <v>7</v>
      </c>
      <c r="B849" s="92">
        <f t="shared" si="2"/>
        <v>12</v>
      </c>
      <c r="C849" s="99"/>
      <c r="D849" s="99"/>
      <c r="E849" s="99"/>
      <c r="F849" s="99"/>
      <c r="G849" s="103"/>
      <c r="H849" s="99"/>
      <c r="I849" s="97" t="str">
        <f t="shared" si="3"/>
        <v/>
      </c>
      <c r="J849" s="97"/>
      <c r="K849" s="97"/>
      <c r="L849" s="97"/>
      <c r="M849" s="97"/>
      <c r="N849" s="97"/>
      <c r="O849" s="97"/>
      <c r="P849" s="97"/>
    </row>
    <row r="850">
      <c r="A850" s="92">
        <f t="shared" si="1"/>
        <v>7</v>
      </c>
      <c r="B850" s="92">
        <f t="shared" si="2"/>
        <v>12</v>
      </c>
      <c r="C850" s="99"/>
      <c r="D850" s="99"/>
      <c r="E850" s="99"/>
      <c r="F850" s="99"/>
      <c r="G850" s="103"/>
      <c r="H850" s="99"/>
      <c r="I850" s="97" t="str">
        <f t="shared" si="3"/>
        <v/>
      </c>
      <c r="J850" s="97"/>
      <c r="K850" s="97"/>
      <c r="L850" s="97"/>
      <c r="M850" s="97"/>
      <c r="N850" s="97"/>
      <c r="O850" s="97"/>
      <c r="P850" s="97"/>
    </row>
    <row r="851">
      <c r="A851" s="92">
        <f t="shared" si="1"/>
        <v>7</v>
      </c>
      <c r="B851" s="92">
        <f t="shared" si="2"/>
        <v>12</v>
      </c>
      <c r="C851" s="99"/>
      <c r="D851" s="99"/>
      <c r="E851" s="99"/>
      <c r="F851" s="99"/>
      <c r="G851" s="103"/>
      <c r="H851" s="99"/>
      <c r="I851" s="97" t="str">
        <f t="shared" si="3"/>
        <v/>
      </c>
      <c r="J851" s="97"/>
      <c r="K851" s="97"/>
      <c r="L851" s="97"/>
      <c r="M851" s="97"/>
      <c r="N851" s="97"/>
      <c r="O851" s="97"/>
      <c r="P851" s="97"/>
    </row>
    <row r="852">
      <c r="A852" s="92">
        <f t="shared" si="1"/>
        <v>7</v>
      </c>
      <c r="B852" s="92">
        <f t="shared" si="2"/>
        <v>12</v>
      </c>
      <c r="C852" s="99"/>
      <c r="D852" s="99"/>
      <c r="E852" s="99"/>
      <c r="F852" s="99"/>
      <c r="G852" s="103"/>
      <c r="H852" s="99"/>
      <c r="I852" s="97" t="str">
        <f t="shared" si="3"/>
        <v/>
      </c>
      <c r="J852" s="97"/>
      <c r="K852" s="97"/>
      <c r="L852" s="97"/>
      <c r="M852" s="97"/>
      <c r="N852" s="97"/>
      <c r="O852" s="97"/>
      <c r="P852" s="97"/>
    </row>
    <row r="853">
      <c r="A853" s="92">
        <f t="shared" si="1"/>
        <v>7</v>
      </c>
      <c r="B853" s="92">
        <f t="shared" si="2"/>
        <v>12</v>
      </c>
      <c r="C853" s="99"/>
      <c r="D853" s="99"/>
      <c r="E853" s="99"/>
      <c r="F853" s="99"/>
      <c r="G853" s="103"/>
      <c r="H853" s="99"/>
      <c r="I853" s="97" t="str">
        <f t="shared" si="3"/>
        <v/>
      </c>
      <c r="J853" s="97"/>
      <c r="K853" s="97"/>
      <c r="L853" s="97"/>
      <c r="M853" s="97"/>
      <c r="N853" s="97"/>
      <c r="O853" s="97"/>
      <c r="P853" s="97"/>
    </row>
    <row r="854">
      <c r="A854" s="92">
        <f t="shared" si="1"/>
        <v>7</v>
      </c>
      <c r="B854" s="92">
        <f t="shared" si="2"/>
        <v>12</v>
      </c>
      <c r="C854" s="99"/>
      <c r="D854" s="99"/>
      <c r="E854" s="99"/>
      <c r="F854" s="99"/>
      <c r="G854" s="103"/>
      <c r="H854" s="99"/>
      <c r="I854" s="97" t="str">
        <f t="shared" si="3"/>
        <v/>
      </c>
      <c r="J854" s="97"/>
      <c r="K854" s="97"/>
      <c r="L854" s="97"/>
      <c r="M854" s="97"/>
      <c r="N854" s="97"/>
      <c r="O854" s="97"/>
      <c r="P854" s="97"/>
    </row>
    <row r="855">
      <c r="A855" s="92">
        <f t="shared" si="1"/>
        <v>7</v>
      </c>
      <c r="B855" s="92">
        <f t="shared" si="2"/>
        <v>12</v>
      </c>
      <c r="C855" s="99"/>
      <c r="D855" s="99"/>
      <c r="E855" s="99"/>
      <c r="F855" s="99"/>
      <c r="G855" s="103"/>
      <c r="H855" s="99"/>
      <c r="I855" s="97" t="str">
        <f t="shared" si="3"/>
        <v/>
      </c>
      <c r="J855" s="97"/>
      <c r="K855" s="97"/>
      <c r="L855" s="97"/>
      <c r="M855" s="97"/>
      <c r="N855" s="97"/>
      <c r="O855" s="97"/>
      <c r="P855" s="97"/>
    </row>
    <row r="856">
      <c r="A856" s="92">
        <f t="shared" si="1"/>
        <v>7</v>
      </c>
      <c r="B856" s="92">
        <f t="shared" si="2"/>
        <v>12</v>
      </c>
      <c r="C856" s="99"/>
      <c r="D856" s="99"/>
      <c r="E856" s="99"/>
      <c r="F856" s="99"/>
      <c r="G856" s="103"/>
      <c r="H856" s="99"/>
      <c r="I856" s="97" t="str">
        <f t="shared" si="3"/>
        <v/>
      </c>
      <c r="J856" s="97"/>
      <c r="K856" s="97"/>
      <c r="L856" s="97"/>
      <c r="M856" s="97"/>
      <c r="N856" s="97"/>
      <c r="O856" s="97"/>
      <c r="P856" s="97"/>
    </row>
    <row r="857">
      <c r="A857" s="92">
        <f t="shared" si="1"/>
        <v>7</v>
      </c>
      <c r="B857" s="92">
        <f t="shared" si="2"/>
        <v>12</v>
      </c>
      <c r="C857" s="99"/>
      <c r="D857" s="99"/>
      <c r="E857" s="99"/>
      <c r="F857" s="99"/>
      <c r="G857" s="103"/>
      <c r="H857" s="99"/>
      <c r="I857" s="97" t="str">
        <f t="shared" si="3"/>
        <v/>
      </c>
      <c r="J857" s="97"/>
      <c r="K857" s="97"/>
      <c r="L857" s="97"/>
      <c r="M857" s="97"/>
      <c r="N857" s="97"/>
      <c r="O857" s="97"/>
      <c r="P857" s="97"/>
    </row>
    <row r="858">
      <c r="A858" s="92">
        <f t="shared" si="1"/>
        <v>7</v>
      </c>
      <c r="B858" s="92">
        <f t="shared" si="2"/>
        <v>12</v>
      </c>
      <c r="C858" s="99"/>
      <c r="D858" s="99"/>
      <c r="E858" s="99"/>
      <c r="F858" s="99"/>
      <c r="G858" s="103"/>
      <c r="H858" s="99"/>
      <c r="I858" s="97" t="str">
        <f t="shared" si="3"/>
        <v/>
      </c>
      <c r="J858" s="97"/>
      <c r="K858" s="97"/>
      <c r="L858" s="97"/>
      <c r="M858" s="97"/>
      <c r="N858" s="97"/>
      <c r="O858" s="97"/>
      <c r="P858" s="97"/>
    </row>
    <row r="859">
      <c r="A859" s="92">
        <f t="shared" si="1"/>
        <v>7</v>
      </c>
      <c r="B859" s="92">
        <f t="shared" si="2"/>
        <v>12</v>
      </c>
      <c r="C859" s="99"/>
      <c r="D859" s="99"/>
      <c r="E859" s="99"/>
      <c r="F859" s="99"/>
      <c r="G859" s="103"/>
      <c r="H859" s="99"/>
      <c r="I859" s="97" t="str">
        <f t="shared" si="3"/>
        <v/>
      </c>
      <c r="J859" s="97"/>
      <c r="K859" s="97"/>
      <c r="L859" s="97"/>
      <c r="M859" s="97"/>
      <c r="N859" s="97"/>
      <c r="O859" s="97"/>
      <c r="P859" s="97"/>
    </row>
    <row r="860">
      <c r="A860" s="92">
        <f t="shared" si="1"/>
        <v>7</v>
      </c>
      <c r="B860" s="92">
        <f t="shared" si="2"/>
        <v>12</v>
      </c>
      <c r="C860" s="99"/>
      <c r="D860" s="99"/>
      <c r="E860" s="99"/>
      <c r="F860" s="99"/>
      <c r="G860" s="103"/>
      <c r="H860" s="99"/>
      <c r="I860" s="97" t="str">
        <f t="shared" si="3"/>
        <v/>
      </c>
      <c r="J860" s="97"/>
      <c r="K860" s="97"/>
      <c r="L860" s="97"/>
      <c r="M860" s="97"/>
      <c r="N860" s="97"/>
      <c r="O860" s="97"/>
      <c r="P860" s="97"/>
    </row>
    <row r="861">
      <c r="A861" s="92">
        <f t="shared" si="1"/>
        <v>7</v>
      </c>
      <c r="B861" s="92">
        <f t="shared" si="2"/>
        <v>12</v>
      </c>
      <c r="C861" s="99"/>
      <c r="D861" s="99"/>
      <c r="E861" s="99"/>
      <c r="F861" s="99"/>
      <c r="G861" s="103"/>
      <c r="H861" s="99"/>
      <c r="I861" s="97" t="str">
        <f t="shared" si="3"/>
        <v/>
      </c>
      <c r="J861" s="97"/>
      <c r="K861" s="97"/>
      <c r="L861" s="97"/>
      <c r="M861" s="97"/>
      <c r="N861" s="97"/>
      <c r="O861" s="97"/>
      <c r="P861" s="97"/>
    </row>
    <row r="862">
      <c r="A862" s="92">
        <f t="shared" si="1"/>
        <v>7</v>
      </c>
      <c r="B862" s="92">
        <f t="shared" si="2"/>
        <v>12</v>
      </c>
      <c r="C862" s="99"/>
      <c r="D862" s="99"/>
      <c r="E862" s="99"/>
      <c r="F862" s="99"/>
      <c r="G862" s="103"/>
      <c r="H862" s="99"/>
      <c r="I862" s="97" t="str">
        <f t="shared" si="3"/>
        <v/>
      </c>
      <c r="J862" s="97"/>
      <c r="K862" s="97"/>
      <c r="L862" s="97"/>
      <c r="M862" s="97"/>
      <c r="N862" s="97"/>
      <c r="O862" s="97"/>
      <c r="P862" s="97"/>
    </row>
    <row r="863">
      <c r="A863" s="92">
        <f t="shared" si="1"/>
        <v>7</v>
      </c>
      <c r="B863" s="92">
        <f t="shared" si="2"/>
        <v>12</v>
      </c>
      <c r="C863" s="99"/>
      <c r="D863" s="99"/>
      <c r="E863" s="99"/>
      <c r="F863" s="99"/>
      <c r="G863" s="103"/>
      <c r="H863" s="99"/>
      <c r="I863" s="97" t="str">
        <f t="shared" si="3"/>
        <v/>
      </c>
      <c r="J863" s="97"/>
      <c r="K863" s="97"/>
      <c r="L863" s="97"/>
      <c r="M863" s="97"/>
      <c r="N863" s="97"/>
      <c r="O863" s="97"/>
      <c r="P863" s="97"/>
    </row>
    <row r="864">
      <c r="A864" s="92">
        <f t="shared" si="1"/>
        <v>7</v>
      </c>
      <c r="B864" s="92">
        <f t="shared" si="2"/>
        <v>12</v>
      </c>
      <c r="C864" s="99"/>
      <c r="D864" s="99"/>
      <c r="E864" s="99"/>
      <c r="F864" s="99"/>
      <c r="G864" s="103"/>
      <c r="H864" s="99"/>
      <c r="I864" s="97" t="str">
        <f t="shared" si="3"/>
        <v/>
      </c>
      <c r="J864" s="97"/>
      <c r="K864" s="97"/>
      <c r="L864" s="97"/>
      <c r="M864" s="97"/>
      <c r="N864" s="97"/>
      <c r="O864" s="97"/>
      <c r="P864" s="97"/>
    </row>
    <row r="865">
      <c r="A865" s="92">
        <f t="shared" si="1"/>
        <v>7</v>
      </c>
      <c r="B865" s="92">
        <f t="shared" si="2"/>
        <v>12</v>
      </c>
      <c r="C865" s="99"/>
      <c r="D865" s="99"/>
      <c r="E865" s="99"/>
      <c r="F865" s="99"/>
      <c r="G865" s="103"/>
      <c r="H865" s="99"/>
      <c r="I865" s="97" t="str">
        <f t="shared" si="3"/>
        <v/>
      </c>
      <c r="J865" s="97"/>
      <c r="K865" s="97"/>
      <c r="L865" s="97"/>
      <c r="M865" s="97"/>
      <c r="N865" s="97"/>
      <c r="O865" s="97"/>
      <c r="P865" s="97"/>
    </row>
    <row r="866">
      <c r="A866" s="92">
        <f t="shared" si="1"/>
        <v>7</v>
      </c>
      <c r="B866" s="92">
        <f t="shared" si="2"/>
        <v>12</v>
      </c>
      <c r="C866" s="99"/>
      <c r="D866" s="99"/>
      <c r="E866" s="99"/>
      <c r="F866" s="99"/>
      <c r="G866" s="103"/>
      <c r="H866" s="99"/>
      <c r="I866" s="97" t="str">
        <f t="shared" si="3"/>
        <v/>
      </c>
      <c r="J866" s="97"/>
      <c r="K866" s="97"/>
      <c r="L866" s="97"/>
      <c r="M866" s="97"/>
      <c r="N866" s="97"/>
      <c r="O866" s="97"/>
      <c r="P866" s="97"/>
    </row>
    <row r="867">
      <c r="A867" s="92">
        <f t="shared" si="1"/>
        <v>7</v>
      </c>
      <c r="B867" s="92">
        <f t="shared" si="2"/>
        <v>12</v>
      </c>
      <c r="C867" s="99"/>
      <c r="D867" s="99"/>
      <c r="E867" s="99"/>
      <c r="F867" s="99"/>
      <c r="G867" s="103"/>
      <c r="H867" s="99"/>
      <c r="I867" s="97" t="str">
        <f t="shared" si="3"/>
        <v/>
      </c>
      <c r="J867" s="97"/>
      <c r="K867" s="97"/>
      <c r="L867" s="97"/>
      <c r="M867" s="97"/>
      <c r="N867" s="97"/>
      <c r="O867" s="97"/>
      <c r="P867" s="97"/>
    </row>
    <row r="868">
      <c r="A868" s="92">
        <f t="shared" si="1"/>
        <v>7</v>
      </c>
      <c r="B868" s="92">
        <f t="shared" si="2"/>
        <v>12</v>
      </c>
      <c r="C868" s="99"/>
      <c r="D868" s="99"/>
      <c r="E868" s="99"/>
      <c r="F868" s="99"/>
      <c r="G868" s="103"/>
      <c r="H868" s="99"/>
      <c r="I868" s="97" t="str">
        <f t="shared" si="3"/>
        <v/>
      </c>
      <c r="J868" s="97"/>
      <c r="K868" s="97"/>
      <c r="L868" s="97"/>
      <c r="M868" s="97"/>
      <c r="N868" s="97"/>
      <c r="O868" s="97"/>
      <c r="P868" s="97"/>
    </row>
    <row r="869">
      <c r="A869" s="92">
        <f t="shared" si="1"/>
        <v>7</v>
      </c>
      <c r="B869" s="92">
        <f t="shared" si="2"/>
        <v>12</v>
      </c>
      <c r="C869" s="99"/>
      <c r="D869" s="99"/>
      <c r="E869" s="99"/>
      <c r="F869" s="99"/>
      <c r="G869" s="103"/>
      <c r="H869" s="99"/>
      <c r="I869" s="97" t="str">
        <f t="shared" si="3"/>
        <v/>
      </c>
      <c r="J869" s="97"/>
      <c r="K869" s="97"/>
      <c r="L869" s="97"/>
      <c r="M869" s="97"/>
      <c r="N869" s="97"/>
      <c r="O869" s="97"/>
      <c r="P869" s="97"/>
    </row>
    <row r="870">
      <c r="A870" s="92">
        <f t="shared" si="1"/>
        <v>7</v>
      </c>
      <c r="B870" s="92">
        <f t="shared" si="2"/>
        <v>12</v>
      </c>
      <c r="C870" s="99"/>
      <c r="D870" s="99"/>
      <c r="E870" s="99"/>
      <c r="F870" s="99"/>
      <c r="G870" s="103"/>
      <c r="H870" s="99"/>
      <c r="I870" s="97" t="str">
        <f t="shared" si="3"/>
        <v/>
      </c>
      <c r="J870" s="97"/>
      <c r="K870" s="97"/>
      <c r="L870" s="97"/>
      <c r="M870" s="97"/>
      <c r="N870" s="97"/>
      <c r="O870" s="97"/>
      <c r="P870" s="97"/>
    </row>
    <row r="871">
      <c r="A871" s="92">
        <f t="shared" si="1"/>
        <v>7</v>
      </c>
      <c r="B871" s="92">
        <f t="shared" si="2"/>
        <v>12</v>
      </c>
      <c r="C871" s="99"/>
      <c r="D871" s="99"/>
      <c r="E871" s="99"/>
      <c r="F871" s="99"/>
      <c r="G871" s="103"/>
      <c r="H871" s="99"/>
      <c r="I871" s="97" t="str">
        <f t="shared" si="3"/>
        <v/>
      </c>
      <c r="J871" s="97"/>
      <c r="K871" s="97"/>
      <c r="L871" s="97"/>
      <c r="M871" s="97"/>
      <c r="N871" s="97"/>
      <c r="O871" s="97"/>
      <c r="P871" s="97"/>
    </row>
    <row r="872">
      <c r="A872" s="92">
        <f t="shared" si="1"/>
        <v>7</v>
      </c>
      <c r="B872" s="92">
        <f t="shared" si="2"/>
        <v>12</v>
      </c>
      <c r="C872" s="99"/>
      <c r="D872" s="99"/>
      <c r="E872" s="99"/>
      <c r="F872" s="99"/>
      <c r="G872" s="103"/>
      <c r="H872" s="99"/>
      <c r="I872" s="97" t="str">
        <f t="shared" si="3"/>
        <v/>
      </c>
      <c r="J872" s="97"/>
      <c r="K872" s="97"/>
      <c r="L872" s="97"/>
      <c r="M872" s="97"/>
      <c r="N872" s="97"/>
      <c r="O872" s="97"/>
      <c r="P872" s="97"/>
    </row>
    <row r="873">
      <c r="A873" s="92">
        <f t="shared" si="1"/>
        <v>7</v>
      </c>
      <c r="B873" s="92">
        <f t="shared" si="2"/>
        <v>12</v>
      </c>
      <c r="C873" s="99"/>
      <c r="D873" s="99"/>
      <c r="E873" s="99"/>
      <c r="F873" s="99"/>
      <c r="G873" s="103"/>
      <c r="H873" s="99"/>
      <c r="I873" s="97" t="str">
        <f t="shared" si="3"/>
        <v/>
      </c>
      <c r="J873" s="97"/>
      <c r="K873" s="97"/>
      <c r="L873" s="97"/>
      <c r="M873" s="97"/>
      <c r="N873" s="97"/>
      <c r="O873" s="97"/>
      <c r="P873" s="97"/>
    </row>
    <row r="874">
      <c r="A874" s="92">
        <f t="shared" si="1"/>
        <v>7</v>
      </c>
      <c r="B874" s="92">
        <f t="shared" si="2"/>
        <v>12</v>
      </c>
      <c r="C874" s="99"/>
      <c r="D874" s="99"/>
      <c r="E874" s="99"/>
      <c r="F874" s="99"/>
      <c r="G874" s="103"/>
      <c r="H874" s="99"/>
      <c r="I874" s="97" t="str">
        <f t="shared" si="3"/>
        <v/>
      </c>
      <c r="J874" s="97"/>
      <c r="K874" s="97"/>
      <c r="L874" s="97"/>
      <c r="M874" s="97"/>
      <c r="N874" s="97"/>
      <c r="O874" s="97"/>
      <c r="P874" s="97"/>
    </row>
    <row r="875">
      <c r="A875" s="92">
        <f t="shared" si="1"/>
        <v>7</v>
      </c>
      <c r="B875" s="92">
        <f t="shared" si="2"/>
        <v>12</v>
      </c>
      <c r="C875" s="99"/>
      <c r="D875" s="99"/>
      <c r="E875" s="99"/>
      <c r="F875" s="99"/>
      <c r="G875" s="103"/>
      <c r="H875" s="99"/>
      <c r="I875" s="97" t="str">
        <f t="shared" si="3"/>
        <v/>
      </c>
      <c r="J875" s="97"/>
      <c r="K875" s="97"/>
      <c r="L875" s="97"/>
      <c r="M875" s="97"/>
      <c r="N875" s="97"/>
      <c r="O875" s="97"/>
      <c r="P875" s="97"/>
    </row>
    <row r="876">
      <c r="A876" s="92">
        <f t="shared" si="1"/>
        <v>7</v>
      </c>
      <c r="B876" s="92">
        <f t="shared" si="2"/>
        <v>12</v>
      </c>
      <c r="C876" s="99"/>
      <c r="D876" s="99"/>
      <c r="E876" s="99"/>
      <c r="F876" s="99"/>
      <c r="G876" s="103"/>
      <c r="H876" s="99"/>
      <c r="I876" s="97" t="str">
        <f t="shared" si="3"/>
        <v/>
      </c>
      <c r="J876" s="97"/>
      <c r="K876" s="97"/>
      <c r="L876" s="97"/>
      <c r="M876" s="97"/>
      <c r="N876" s="97"/>
      <c r="O876" s="97"/>
      <c r="P876" s="97"/>
    </row>
    <row r="877">
      <c r="A877" s="92">
        <f t="shared" si="1"/>
        <v>7</v>
      </c>
      <c r="B877" s="92">
        <f t="shared" si="2"/>
        <v>12</v>
      </c>
      <c r="C877" s="99"/>
      <c r="D877" s="99"/>
      <c r="E877" s="99"/>
      <c r="F877" s="99"/>
      <c r="G877" s="103"/>
      <c r="H877" s="99"/>
      <c r="I877" s="97" t="str">
        <f t="shared" si="3"/>
        <v/>
      </c>
      <c r="J877" s="97"/>
      <c r="K877" s="97"/>
      <c r="L877" s="97"/>
      <c r="M877" s="97"/>
      <c r="N877" s="97"/>
      <c r="O877" s="97"/>
      <c r="P877" s="97"/>
    </row>
    <row r="878">
      <c r="A878" s="92">
        <f t="shared" si="1"/>
        <v>7</v>
      </c>
      <c r="B878" s="92">
        <f t="shared" si="2"/>
        <v>12</v>
      </c>
      <c r="C878" s="99"/>
      <c r="D878" s="99"/>
      <c r="E878" s="99"/>
      <c r="F878" s="99"/>
      <c r="G878" s="103"/>
      <c r="H878" s="99"/>
      <c r="I878" s="97" t="str">
        <f t="shared" si="3"/>
        <v/>
      </c>
      <c r="J878" s="97"/>
      <c r="K878" s="97"/>
      <c r="L878" s="97"/>
      <c r="M878" s="97"/>
      <c r="N878" s="97"/>
      <c r="O878" s="97"/>
      <c r="P878" s="97"/>
    </row>
    <row r="879">
      <c r="A879" s="92">
        <f t="shared" si="1"/>
        <v>7</v>
      </c>
      <c r="B879" s="92">
        <f t="shared" si="2"/>
        <v>12</v>
      </c>
      <c r="C879" s="99"/>
      <c r="D879" s="99"/>
      <c r="E879" s="99"/>
      <c r="F879" s="99"/>
      <c r="G879" s="103"/>
      <c r="H879" s="99"/>
      <c r="I879" s="97" t="str">
        <f t="shared" si="3"/>
        <v/>
      </c>
      <c r="J879" s="97"/>
      <c r="K879" s="97"/>
      <c r="L879" s="97"/>
      <c r="M879" s="97"/>
      <c r="N879" s="97"/>
      <c r="O879" s="97"/>
      <c r="P879" s="97"/>
    </row>
    <row r="880">
      <c r="A880" s="92">
        <f t="shared" si="1"/>
        <v>7</v>
      </c>
      <c r="B880" s="92">
        <f t="shared" si="2"/>
        <v>12</v>
      </c>
      <c r="C880" s="99"/>
      <c r="D880" s="99"/>
      <c r="E880" s="99"/>
      <c r="F880" s="99"/>
      <c r="G880" s="103"/>
      <c r="H880" s="99"/>
      <c r="I880" s="97" t="str">
        <f t="shared" si="3"/>
        <v/>
      </c>
      <c r="J880" s="97"/>
      <c r="K880" s="97"/>
      <c r="L880" s="97"/>
      <c r="M880" s="97"/>
      <c r="N880" s="97"/>
      <c r="O880" s="97"/>
      <c r="P880" s="97"/>
    </row>
    <row r="881">
      <c r="A881" s="92">
        <f t="shared" si="1"/>
        <v>7</v>
      </c>
      <c r="B881" s="92">
        <f t="shared" si="2"/>
        <v>12</v>
      </c>
      <c r="C881" s="99"/>
      <c r="D881" s="99"/>
      <c r="E881" s="99"/>
      <c r="F881" s="99"/>
      <c r="G881" s="103"/>
      <c r="H881" s="99"/>
      <c r="I881" s="97" t="str">
        <f t="shared" si="3"/>
        <v/>
      </c>
      <c r="J881" s="97"/>
      <c r="K881" s="97"/>
      <c r="L881" s="97"/>
      <c r="M881" s="97"/>
      <c r="N881" s="97"/>
      <c r="O881" s="97"/>
      <c r="P881" s="97"/>
    </row>
    <row r="882">
      <c r="A882" s="92">
        <f t="shared" si="1"/>
        <v>7</v>
      </c>
      <c r="B882" s="92">
        <f t="shared" si="2"/>
        <v>12</v>
      </c>
      <c r="C882" s="99"/>
      <c r="D882" s="99"/>
      <c r="E882" s="99"/>
      <c r="F882" s="99"/>
      <c r="G882" s="103"/>
      <c r="H882" s="99"/>
      <c r="I882" s="97" t="str">
        <f t="shared" si="3"/>
        <v/>
      </c>
      <c r="J882" s="97"/>
      <c r="K882" s="97"/>
      <c r="L882" s="97"/>
      <c r="M882" s="97"/>
      <c r="N882" s="97"/>
      <c r="O882" s="97"/>
      <c r="P882" s="97"/>
    </row>
    <row r="883">
      <c r="A883" s="92">
        <f t="shared" si="1"/>
        <v>7</v>
      </c>
      <c r="B883" s="92">
        <f t="shared" si="2"/>
        <v>12</v>
      </c>
      <c r="C883" s="99"/>
      <c r="D883" s="99"/>
      <c r="E883" s="99"/>
      <c r="F883" s="99"/>
      <c r="G883" s="103"/>
      <c r="H883" s="99"/>
      <c r="I883" s="97" t="str">
        <f t="shared" si="3"/>
        <v/>
      </c>
      <c r="J883" s="97"/>
      <c r="K883" s="97"/>
      <c r="L883" s="97"/>
      <c r="M883" s="97"/>
      <c r="N883" s="97"/>
      <c r="O883" s="97"/>
      <c r="P883" s="97"/>
    </row>
    <row r="884">
      <c r="A884" s="92">
        <f t="shared" si="1"/>
        <v>7</v>
      </c>
      <c r="B884" s="92">
        <f t="shared" si="2"/>
        <v>12</v>
      </c>
      <c r="C884" s="99"/>
      <c r="D884" s="99"/>
      <c r="E884" s="99"/>
      <c r="F884" s="99"/>
      <c r="G884" s="103"/>
      <c r="H884" s="99"/>
      <c r="I884" s="97" t="str">
        <f t="shared" si="3"/>
        <v/>
      </c>
      <c r="J884" s="97"/>
      <c r="K884" s="97"/>
      <c r="L884" s="97"/>
      <c r="M884" s="97"/>
      <c r="N884" s="97"/>
      <c r="O884" s="97"/>
      <c r="P884" s="97"/>
    </row>
    <row r="885">
      <c r="A885" s="92">
        <f t="shared" si="1"/>
        <v>7</v>
      </c>
      <c r="B885" s="92">
        <f t="shared" si="2"/>
        <v>12</v>
      </c>
      <c r="C885" s="99"/>
      <c r="D885" s="99"/>
      <c r="E885" s="99"/>
      <c r="F885" s="99"/>
      <c r="G885" s="103"/>
      <c r="H885" s="99"/>
      <c r="I885" s="97" t="str">
        <f t="shared" si="3"/>
        <v/>
      </c>
      <c r="J885" s="97"/>
      <c r="K885" s="97"/>
      <c r="L885" s="97"/>
      <c r="M885" s="97"/>
      <c r="N885" s="97"/>
      <c r="O885" s="97"/>
      <c r="P885" s="97"/>
    </row>
    <row r="886">
      <c r="A886" s="92">
        <f t="shared" si="1"/>
        <v>7</v>
      </c>
      <c r="B886" s="92">
        <f t="shared" si="2"/>
        <v>12</v>
      </c>
      <c r="C886" s="99"/>
      <c r="D886" s="99"/>
      <c r="E886" s="99"/>
      <c r="F886" s="99"/>
      <c r="G886" s="103"/>
      <c r="H886" s="99"/>
      <c r="I886" s="97" t="str">
        <f t="shared" si="3"/>
        <v/>
      </c>
      <c r="J886" s="97"/>
      <c r="K886" s="97"/>
      <c r="L886" s="97"/>
      <c r="M886" s="97"/>
      <c r="N886" s="97"/>
      <c r="O886" s="97"/>
      <c r="P886" s="97"/>
    </row>
    <row r="887">
      <c r="A887" s="92">
        <f t="shared" si="1"/>
        <v>7</v>
      </c>
      <c r="B887" s="92">
        <f t="shared" si="2"/>
        <v>12</v>
      </c>
      <c r="C887" s="99"/>
      <c r="D887" s="99"/>
      <c r="E887" s="99"/>
      <c r="F887" s="99"/>
      <c r="G887" s="103"/>
      <c r="H887" s="99"/>
      <c r="I887" s="97" t="str">
        <f t="shared" si="3"/>
        <v/>
      </c>
      <c r="J887" s="97"/>
      <c r="K887" s="97"/>
      <c r="L887" s="97"/>
      <c r="M887" s="97"/>
      <c r="N887" s="97"/>
      <c r="O887" s="97"/>
      <c r="P887" s="97"/>
    </row>
    <row r="888">
      <c r="A888" s="92">
        <f t="shared" si="1"/>
        <v>7</v>
      </c>
      <c r="B888" s="92">
        <f t="shared" si="2"/>
        <v>12</v>
      </c>
      <c r="C888" s="99"/>
      <c r="D888" s="99"/>
      <c r="E888" s="99"/>
      <c r="F888" s="99"/>
      <c r="G888" s="103"/>
      <c r="H888" s="99"/>
      <c r="I888" s="97" t="str">
        <f t="shared" si="3"/>
        <v/>
      </c>
      <c r="J888" s="97"/>
      <c r="K888" s="97"/>
      <c r="L888" s="97"/>
      <c r="M888" s="97"/>
      <c r="N888" s="97"/>
      <c r="O888" s="97"/>
      <c r="P888" s="97"/>
    </row>
    <row r="889">
      <c r="A889" s="92">
        <f t="shared" si="1"/>
        <v>7</v>
      </c>
      <c r="B889" s="92">
        <f t="shared" si="2"/>
        <v>12</v>
      </c>
      <c r="C889" s="99"/>
      <c r="D889" s="99"/>
      <c r="E889" s="99"/>
      <c r="F889" s="99"/>
      <c r="G889" s="103"/>
      <c r="H889" s="99"/>
      <c r="I889" s="97" t="str">
        <f t="shared" si="3"/>
        <v/>
      </c>
      <c r="J889" s="97"/>
      <c r="K889" s="97"/>
      <c r="L889" s="97"/>
      <c r="M889" s="97"/>
      <c r="N889" s="97"/>
      <c r="O889" s="97"/>
      <c r="P889" s="97"/>
    </row>
    <row r="890">
      <c r="A890" s="92">
        <f t="shared" si="1"/>
        <v>7</v>
      </c>
      <c r="B890" s="92">
        <f t="shared" si="2"/>
        <v>12</v>
      </c>
      <c r="C890" s="99"/>
      <c r="D890" s="99"/>
      <c r="E890" s="99"/>
      <c r="F890" s="99"/>
      <c r="G890" s="103"/>
      <c r="H890" s="99"/>
      <c r="I890" s="97" t="str">
        <f t="shared" si="3"/>
        <v/>
      </c>
      <c r="J890" s="97"/>
      <c r="K890" s="97"/>
      <c r="L890" s="97"/>
      <c r="M890" s="97"/>
      <c r="N890" s="97"/>
      <c r="O890" s="97"/>
      <c r="P890" s="97"/>
    </row>
    <row r="891">
      <c r="A891" s="92">
        <f t="shared" si="1"/>
        <v>7</v>
      </c>
      <c r="B891" s="92">
        <f t="shared" si="2"/>
        <v>12</v>
      </c>
      <c r="C891" s="99"/>
      <c r="D891" s="99"/>
      <c r="E891" s="99"/>
      <c r="F891" s="99"/>
      <c r="G891" s="103"/>
      <c r="H891" s="99"/>
      <c r="I891" s="97" t="str">
        <f t="shared" si="3"/>
        <v/>
      </c>
      <c r="J891" s="97"/>
      <c r="K891" s="97"/>
      <c r="L891" s="97"/>
      <c r="M891" s="97"/>
      <c r="N891" s="97"/>
      <c r="O891" s="97"/>
      <c r="P891" s="97"/>
    </row>
    <row r="892">
      <c r="A892" s="92">
        <f t="shared" si="1"/>
        <v>7</v>
      </c>
      <c r="B892" s="92">
        <f t="shared" si="2"/>
        <v>12</v>
      </c>
      <c r="C892" s="99"/>
      <c r="D892" s="99"/>
      <c r="E892" s="99"/>
      <c r="F892" s="99"/>
      <c r="G892" s="103"/>
      <c r="H892" s="99"/>
      <c r="I892" s="97" t="str">
        <f t="shared" si="3"/>
        <v/>
      </c>
      <c r="J892" s="97"/>
      <c r="K892" s="97"/>
      <c r="L892" s="97"/>
      <c r="M892" s="97"/>
      <c r="N892" s="97"/>
      <c r="O892" s="97"/>
      <c r="P892" s="97"/>
    </row>
    <row r="893">
      <c r="A893" s="92">
        <f t="shared" si="1"/>
        <v>7</v>
      </c>
      <c r="B893" s="92">
        <f t="shared" si="2"/>
        <v>12</v>
      </c>
      <c r="C893" s="99"/>
      <c r="D893" s="99"/>
      <c r="E893" s="99"/>
      <c r="F893" s="99"/>
      <c r="G893" s="103"/>
      <c r="H893" s="99"/>
      <c r="I893" s="97" t="str">
        <f t="shared" si="3"/>
        <v/>
      </c>
      <c r="J893" s="97"/>
      <c r="K893" s="97"/>
      <c r="L893" s="97"/>
      <c r="M893" s="97"/>
      <c r="N893" s="97"/>
      <c r="O893" s="97"/>
      <c r="P893" s="97"/>
    </row>
    <row r="894">
      <c r="A894" s="92">
        <f t="shared" si="1"/>
        <v>7</v>
      </c>
      <c r="B894" s="92">
        <f t="shared" si="2"/>
        <v>12</v>
      </c>
      <c r="C894" s="99"/>
      <c r="D894" s="99"/>
      <c r="E894" s="99"/>
      <c r="F894" s="99"/>
      <c r="G894" s="103"/>
      <c r="H894" s="99"/>
      <c r="I894" s="97" t="str">
        <f t="shared" si="3"/>
        <v/>
      </c>
      <c r="J894" s="97"/>
      <c r="K894" s="97"/>
      <c r="L894" s="97"/>
      <c r="M894" s="97"/>
      <c r="N894" s="97"/>
      <c r="O894" s="97"/>
      <c r="P894" s="97"/>
    </row>
    <row r="895">
      <c r="A895" s="92">
        <f t="shared" si="1"/>
        <v>7</v>
      </c>
      <c r="B895" s="92">
        <f t="shared" si="2"/>
        <v>12</v>
      </c>
      <c r="C895" s="99"/>
      <c r="D895" s="99"/>
      <c r="E895" s="99"/>
      <c r="F895" s="99"/>
      <c r="G895" s="103"/>
      <c r="H895" s="99"/>
      <c r="I895" s="97" t="str">
        <f t="shared" si="3"/>
        <v/>
      </c>
      <c r="J895" s="97"/>
      <c r="K895" s="97"/>
      <c r="L895" s="97"/>
      <c r="M895" s="97"/>
      <c r="N895" s="97"/>
      <c r="O895" s="97"/>
      <c r="P895" s="97"/>
    </row>
    <row r="896">
      <c r="A896" s="92">
        <f t="shared" si="1"/>
        <v>7</v>
      </c>
      <c r="B896" s="92">
        <f t="shared" si="2"/>
        <v>12</v>
      </c>
      <c r="C896" s="99"/>
      <c r="D896" s="99"/>
      <c r="E896" s="99"/>
      <c r="F896" s="99"/>
      <c r="G896" s="103"/>
      <c r="H896" s="99"/>
      <c r="I896" s="97" t="str">
        <f t="shared" si="3"/>
        <v/>
      </c>
      <c r="J896" s="97"/>
      <c r="K896" s="97"/>
      <c r="L896" s="97"/>
      <c r="M896" s="97"/>
      <c r="N896" s="97"/>
      <c r="O896" s="97"/>
      <c r="P896" s="97"/>
    </row>
    <row r="897">
      <c r="A897" s="92">
        <f t="shared" si="1"/>
        <v>7</v>
      </c>
      <c r="B897" s="92">
        <f t="shared" si="2"/>
        <v>12</v>
      </c>
      <c r="C897" s="99"/>
      <c r="D897" s="99"/>
      <c r="E897" s="99"/>
      <c r="F897" s="99"/>
      <c r="G897" s="103"/>
      <c r="H897" s="99"/>
      <c r="I897" s="97" t="str">
        <f t="shared" si="3"/>
        <v/>
      </c>
      <c r="J897" s="97"/>
      <c r="K897" s="97"/>
      <c r="L897" s="97"/>
      <c r="M897" s="97"/>
      <c r="N897" s="97"/>
      <c r="O897" s="97"/>
      <c r="P897" s="97"/>
    </row>
    <row r="898">
      <c r="A898" s="92">
        <f t="shared" si="1"/>
        <v>7</v>
      </c>
      <c r="B898" s="92">
        <f t="shared" si="2"/>
        <v>12</v>
      </c>
      <c r="C898" s="99"/>
      <c r="D898" s="99"/>
      <c r="E898" s="99"/>
      <c r="F898" s="99"/>
      <c r="G898" s="103"/>
      <c r="H898" s="99"/>
      <c r="I898" s="97" t="str">
        <f t="shared" si="3"/>
        <v/>
      </c>
      <c r="J898" s="97"/>
      <c r="K898" s="97"/>
      <c r="L898" s="97"/>
      <c r="M898" s="97"/>
      <c r="N898" s="97"/>
      <c r="O898" s="97"/>
      <c r="P898" s="97"/>
    </row>
    <row r="899">
      <c r="A899" s="92">
        <f t="shared" si="1"/>
        <v>7</v>
      </c>
      <c r="B899" s="92">
        <f t="shared" si="2"/>
        <v>12</v>
      </c>
      <c r="C899" s="99"/>
      <c r="D899" s="99"/>
      <c r="E899" s="99"/>
      <c r="F899" s="99"/>
      <c r="G899" s="103"/>
      <c r="H899" s="99"/>
      <c r="I899" s="97" t="str">
        <f t="shared" si="3"/>
        <v/>
      </c>
      <c r="J899" s="97"/>
      <c r="K899" s="97"/>
      <c r="L899" s="97"/>
      <c r="M899" s="97"/>
      <c r="N899" s="97"/>
      <c r="O899" s="97"/>
      <c r="P899" s="97"/>
    </row>
    <row r="900">
      <c r="A900" s="92">
        <f t="shared" si="1"/>
        <v>7</v>
      </c>
      <c r="B900" s="92">
        <f t="shared" si="2"/>
        <v>12</v>
      </c>
      <c r="C900" s="99"/>
      <c r="D900" s="99"/>
      <c r="E900" s="99"/>
      <c r="F900" s="99"/>
      <c r="G900" s="103"/>
      <c r="H900" s="99"/>
      <c r="I900" s="97" t="str">
        <f t="shared" si="3"/>
        <v/>
      </c>
      <c r="J900" s="97"/>
      <c r="K900" s="97"/>
      <c r="L900" s="97"/>
      <c r="M900" s="97"/>
      <c r="N900" s="97"/>
      <c r="O900" s="97"/>
      <c r="P900" s="97"/>
    </row>
    <row r="901">
      <c r="A901" s="92">
        <f t="shared" si="1"/>
        <v>7</v>
      </c>
      <c r="B901" s="92">
        <f t="shared" si="2"/>
        <v>12</v>
      </c>
      <c r="C901" s="99"/>
      <c r="D901" s="99"/>
      <c r="E901" s="99"/>
      <c r="F901" s="99"/>
      <c r="G901" s="103"/>
      <c r="H901" s="99"/>
      <c r="I901" s="97" t="str">
        <f t="shared" si="3"/>
        <v/>
      </c>
      <c r="J901" s="97"/>
      <c r="K901" s="97"/>
      <c r="L901" s="97"/>
      <c r="M901" s="97"/>
      <c r="N901" s="97"/>
      <c r="O901" s="97"/>
      <c r="P901" s="97"/>
    </row>
    <row r="902">
      <c r="A902" s="92">
        <f t="shared" si="1"/>
        <v>7</v>
      </c>
      <c r="B902" s="92">
        <f t="shared" si="2"/>
        <v>12</v>
      </c>
      <c r="C902" s="99"/>
      <c r="D902" s="99"/>
      <c r="E902" s="99"/>
      <c r="F902" s="99"/>
      <c r="G902" s="103"/>
      <c r="H902" s="99"/>
      <c r="I902" s="97" t="str">
        <f t="shared" si="3"/>
        <v/>
      </c>
      <c r="J902" s="97"/>
      <c r="K902" s="97"/>
      <c r="L902" s="97"/>
      <c r="M902" s="97"/>
      <c r="N902" s="97"/>
      <c r="O902" s="97"/>
      <c r="P902" s="97"/>
    </row>
    <row r="903">
      <c r="A903" s="92">
        <f t="shared" si="1"/>
        <v>7</v>
      </c>
      <c r="B903" s="92">
        <f t="shared" si="2"/>
        <v>12</v>
      </c>
      <c r="C903" s="99"/>
      <c r="D903" s="99"/>
      <c r="E903" s="99"/>
      <c r="F903" s="99"/>
      <c r="G903" s="103"/>
      <c r="H903" s="99"/>
      <c r="I903" s="97" t="str">
        <f t="shared" si="3"/>
        <v/>
      </c>
      <c r="J903" s="97"/>
      <c r="K903" s="97"/>
      <c r="L903" s="97"/>
      <c r="M903" s="97"/>
      <c r="N903" s="97"/>
      <c r="O903" s="97"/>
      <c r="P903" s="97"/>
    </row>
    <row r="904">
      <c r="A904" s="92">
        <f t="shared" si="1"/>
        <v>7</v>
      </c>
      <c r="B904" s="92">
        <f t="shared" si="2"/>
        <v>12</v>
      </c>
      <c r="C904" s="99"/>
      <c r="D904" s="99"/>
      <c r="E904" s="99"/>
      <c r="F904" s="99"/>
      <c r="G904" s="103"/>
      <c r="H904" s="99"/>
      <c r="I904" s="97" t="str">
        <f t="shared" si="3"/>
        <v/>
      </c>
      <c r="J904" s="97"/>
      <c r="K904" s="97"/>
      <c r="L904" s="97"/>
      <c r="M904" s="97"/>
      <c r="N904" s="97"/>
      <c r="O904" s="97"/>
      <c r="P904" s="97"/>
    </row>
    <row r="905">
      <c r="A905" s="92">
        <f t="shared" si="1"/>
        <v>7</v>
      </c>
      <c r="B905" s="92">
        <f t="shared" si="2"/>
        <v>12</v>
      </c>
      <c r="C905" s="99"/>
      <c r="D905" s="99"/>
      <c r="E905" s="99"/>
      <c r="F905" s="99"/>
      <c r="G905" s="103"/>
      <c r="H905" s="99"/>
      <c r="I905" s="97" t="str">
        <f t="shared" si="3"/>
        <v/>
      </c>
      <c r="J905" s="97"/>
      <c r="K905" s="97"/>
      <c r="L905" s="97"/>
      <c r="M905" s="97"/>
      <c r="N905" s="97"/>
      <c r="O905" s="97"/>
      <c r="P905" s="97"/>
    </row>
    <row r="906">
      <c r="A906" s="92">
        <f t="shared" si="1"/>
        <v>7</v>
      </c>
      <c r="B906" s="92">
        <f t="shared" si="2"/>
        <v>12</v>
      </c>
      <c r="C906" s="99"/>
      <c r="D906" s="99"/>
      <c r="E906" s="99"/>
      <c r="F906" s="99"/>
      <c r="G906" s="103"/>
      <c r="H906" s="99"/>
      <c r="I906" s="97" t="str">
        <f t="shared" si="3"/>
        <v/>
      </c>
      <c r="J906" s="97"/>
      <c r="K906" s="97"/>
      <c r="L906" s="97"/>
      <c r="M906" s="97"/>
      <c r="N906" s="97"/>
      <c r="O906" s="97"/>
      <c r="P906" s="97"/>
    </row>
    <row r="907">
      <c r="A907" s="92">
        <f t="shared" si="1"/>
        <v>7</v>
      </c>
      <c r="B907" s="92">
        <f t="shared" si="2"/>
        <v>12</v>
      </c>
      <c r="C907" s="99"/>
      <c r="D907" s="99"/>
      <c r="E907" s="99"/>
      <c r="F907" s="99"/>
      <c r="G907" s="103"/>
      <c r="H907" s="99"/>
      <c r="I907" s="97" t="str">
        <f t="shared" si="3"/>
        <v/>
      </c>
      <c r="J907" s="97"/>
      <c r="K907" s="97"/>
      <c r="L907" s="97"/>
      <c r="M907" s="97"/>
      <c r="N907" s="97"/>
      <c r="O907" s="97"/>
      <c r="P907" s="97"/>
    </row>
    <row r="908">
      <c r="A908" s="92">
        <f t="shared" si="1"/>
        <v>7</v>
      </c>
      <c r="B908" s="92">
        <f t="shared" si="2"/>
        <v>12</v>
      </c>
      <c r="C908" s="99"/>
      <c r="D908" s="99"/>
      <c r="E908" s="99"/>
      <c r="F908" s="99"/>
      <c r="G908" s="103"/>
      <c r="H908" s="99"/>
      <c r="I908" s="97" t="str">
        <f t="shared" si="3"/>
        <v/>
      </c>
      <c r="J908" s="97"/>
      <c r="K908" s="97"/>
      <c r="L908" s="97"/>
      <c r="M908" s="97"/>
      <c r="N908" s="97"/>
      <c r="O908" s="97"/>
      <c r="P908" s="97"/>
    </row>
    <row r="909">
      <c r="A909" s="92">
        <f t="shared" si="1"/>
        <v>7</v>
      </c>
      <c r="B909" s="92">
        <f t="shared" si="2"/>
        <v>12</v>
      </c>
      <c r="C909" s="99"/>
      <c r="D909" s="99"/>
      <c r="E909" s="99"/>
      <c r="F909" s="99"/>
      <c r="G909" s="103"/>
      <c r="H909" s="99"/>
      <c r="I909" s="97" t="str">
        <f t="shared" si="3"/>
        <v/>
      </c>
      <c r="J909" s="97"/>
      <c r="K909" s="97"/>
      <c r="L909" s="97"/>
      <c r="M909" s="97"/>
      <c r="N909" s="97"/>
      <c r="O909" s="97"/>
      <c r="P909" s="97"/>
    </row>
    <row r="910">
      <c r="A910" s="92">
        <f t="shared" si="1"/>
        <v>7</v>
      </c>
      <c r="B910" s="92">
        <f t="shared" si="2"/>
        <v>12</v>
      </c>
      <c r="C910" s="99"/>
      <c r="D910" s="99"/>
      <c r="E910" s="99"/>
      <c r="F910" s="99"/>
      <c r="G910" s="103"/>
      <c r="H910" s="99"/>
      <c r="I910" s="97" t="str">
        <f t="shared" si="3"/>
        <v/>
      </c>
      <c r="J910" s="97"/>
      <c r="K910" s="97"/>
      <c r="L910" s="97"/>
      <c r="M910" s="97"/>
      <c r="N910" s="97"/>
      <c r="O910" s="97"/>
      <c r="P910" s="97"/>
    </row>
    <row r="911">
      <c r="A911" s="92">
        <f t="shared" si="1"/>
        <v>7</v>
      </c>
      <c r="B911" s="92">
        <f t="shared" si="2"/>
        <v>12</v>
      </c>
      <c r="C911" s="99"/>
      <c r="D911" s="99"/>
      <c r="E911" s="99"/>
      <c r="F911" s="99"/>
      <c r="G911" s="103"/>
      <c r="H911" s="99"/>
      <c r="I911" s="97" t="str">
        <f t="shared" si="3"/>
        <v/>
      </c>
      <c r="J911" s="97"/>
      <c r="K911" s="97"/>
      <c r="L911" s="97"/>
      <c r="M911" s="97"/>
      <c r="N911" s="97"/>
      <c r="O911" s="97"/>
      <c r="P911" s="97"/>
    </row>
    <row r="912">
      <c r="A912" s="92">
        <f t="shared" si="1"/>
        <v>7</v>
      </c>
      <c r="B912" s="92">
        <f t="shared" si="2"/>
        <v>12</v>
      </c>
      <c r="C912" s="99"/>
      <c r="D912" s="99"/>
      <c r="E912" s="99"/>
      <c r="F912" s="99"/>
      <c r="G912" s="103"/>
      <c r="H912" s="99"/>
      <c r="I912" s="97" t="str">
        <f t="shared" si="3"/>
        <v/>
      </c>
      <c r="J912" s="97"/>
      <c r="K912" s="97"/>
      <c r="L912" s="97"/>
      <c r="M912" s="97"/>
      <c r="N912" s="97"/>
      <c r="O912" s="97"/>
      <c r="P912" s="97"/>
    </row>
    <row r="913">
      <c r="A913" s="92">
        <f t="shared" si="1"/>
        <v>7</v>
      </c>
      <c r="B913" s="92">
        <f t="shared" si="2"/>
        <v>12</v>
      </c>
      <c r="C913" s="99"/>
      <c r="D913" s="99"/>
      <c r="E913" s="99"/>
      <c r="F913" s="99"/>
      <c r="G913" s="103"/>
      <c r="H913" s="99"/>
      <c r="I913" s="97" t="str">
        <f t="shared" si="3"/>
        <v/>
      </c>
      <c r="J913" s="97"/>
      <c r="K913" s="97"/>
      <c r="L913" s="97"/>
      <c r="M913" s="97"/>
      <c r="N913" s="97"/>
      <c r="O913" s="97"/>
      <c r="P913" s="97"/>
    </row>
    <row r="914">
      <c r="A914" s="92">
        <f t="shared" si="1"/>
        <v>7</v>
      </c>
      <c r="B914" s="92">
        <f t="shared" si="2"/>
        <v>12</v>
      </c>
      <c r="C914" s="99"/>
      <c r="D914" s="99"/>
      <c r="E914" s="99"/>
      <c r="F914" s="99"/>
      <c r="G914" s="103"/>
      <c r="H914" s="99"/>
      <c r="I914" s="97" t="str">
        <f t="shared" si="3"/>
        <v/>
      </c>
      <c r="J914" s="97"/>
      <c r="K914" s="97"/>
      <c r="L914" s="97"/>
      <c r="M914" s="97"/>
      <c r="N914" s="97"/>
      <c r="O914" s="97"/>
      <c r="P914" s="97"/>
    </row>
    <row r="915">
      <c r="A915" s="92">
        <f t="shared" si="1"/>
        <v>7</v>
      </c>
      <c r="B915" s="92">
        <f t="shared" si="2"/>
        <v>12</v>
      </c>
      <c r="C915" s="99"/>
      <c r="D915" s="99"/>
      <c r="E915" s="99"/>
      <c r="F915" s="99"/>
      <c r="G915" s="103"/>
      <c r="H915" s="99"/>
      <c r="I915" s="97" t="str">
        <f t="shared" si="3"/>
        <v/>
      </c>
      <c r="J915" s="97"/>
      <c r="K915" s="97"/>
      <c r="L915" s="97"/>
      <c r="M915" s="97"/>
      <c r="N915" s="97"/>
      <c r="O915" s="97"/>
      <c r="P915" s="97"/>
    </row>
    <row r="916">
      <c r="A916" s="92">
        <f t="shared" si="1"/>
        <v>7</v>
      </c>
      <c r="B916" s="92">
        <f t="shared" si="2"/>
        <v>12</v>
      </c>
      <c r="C916" s="99"/>
      <c r="D916" s="99"/>
      <c r="E916" s="99"/>
      <c r="F916" s="99"/>
      <c r="G916" s="103"/>
      <c r="H916" s="99"/>
      <c r="I916" s="97" t="str">
        <f t="shared" si="3"/>
        <v/>
      </c>
      <c r="J916" s="97"/>
      <c r="K916" s="97"/>
      <c r="L916" s="97"/>
      <c r="M916" s="97"/>
      <c r="N916" s="97"/>
      <c r="O916" s="97"/>
      <c r="P916" s="97"/>
    </row>
    <row r="917">
      <c r="A917" s="92">
        <f t="shared" si="1"/>
        <v>7</v>
      </c>
      <c r="B917" s="92">
        <f t="shared" si="2"/>
        <v>12</v>
      </c>
      <c r="C917" s="99"/>
      <c r="D917" s="99"/>
      <c r="E917" s="99"/>
      <c r="F917" s="99"/>
      <c r="G917" s="103"/>
      <c r="H917" s="99"/>
      <c r="I917" s="97" t="str">
        <f t="shared" si="3"/>
        <v/>
      </c>
      <c r="J917" s="97"/>
      <c r="K917" s="97"/>
      <c r="L917" s="97"/>
      <c r="M917" s="97"/>
      <c r="N917" s="97"/>
      <c r="O917" s="97"/>
      <c r="P917" s="97"/>
    </row>
    <row r="918">
      <c r="A918" s="92">
        <f t="shared" si="1"/>
        <v>7</v>
      </c>
      <c r="B918" s="92">
        <f t="shared" si="2"/>
        <v>12</v>
      </c>
      <c r="C918" s="99"/>
      <c r="D918" s="99"/>
      <c r="E918" s="99"/>
      <c r="F918" s="99"/>
      <c r="G918" s="103"/>
      <c r="H918" s="99"/>
      <c r="I918" s="97" t="str">
        <f t="shared" si="3"/>
        <v/>
      </c>
      <c r="J918" s="97"/>
      <c r="K918" s="97"/>
      <c r="L918" s="97"/>
      <c r="M918" s="97"/>
      <c r="N918" s="97"/>
      <c r="O918" s="97"/>
      <c r="P918" s="97"/>
    </row>
    <row r="919">
      <c r="A919" s="92">
        <f t="shared" si="1"/>
        <v>7</v>
      </c>
      <c r="B919" s="92">
        <f t="shared" si="2"/>
        <v>12</v>
      </c>
      <c r="C919" s="99"/>
      <c r="D919" s="99"/>
      <c r="E919" s="99"/>
      <c r="F919" s="99"/>
      <c r="G919" s="103"/>
      <c r="H919" s="99"/>
      <c r="I919" s="97" t="str">
        <f t="shared" si="3"/>
        <v/>
      </c>
      <c r="J919" s="97"/>
      <c r="K919" s="97"/>
      <c r="L919" s="97"/>
      <c r="M919" s="97"/>
      <c r="N919" s="97"/>
      <c r="O919" s="97"/>
      <c r="P919" s="97"/>
    </row>
    <row r="920">
      <c r="A920" s="92">
        <f t="shared" si="1"/>
        <v>7</v>
      </c>
      <c r="B920" s="92">
        <f t="shared" si="2"/>
        <v>12</v>
      </c>
      <c r="C920" s="99"/>
      <c r="D920" s="99"/>
      <c r="E920" s="99"/>
      <c r="F920" s="99"/>
      <c r="G920" s="103"/>
      <c r="H920" s="99"/>
      <c r="I920" s="97" t="str">
        <f t="shared" si="3"/>
        <v/>
      </c>
      <c r="J920" s="97"/>
      <c r="K920" s="97"/>
      <c r="L920" s="97"/>
      <c r="M920" s="97"/>
      <c r="N920" s="97"/>
      <c r="O920" s="97"/>
      <c r="P920" s="97"/>
    </row>
    <row r="921">
      <c r="A921" s="92">
        <f t="shared" si="1"/>
        <v>7</v>
      </c>
      <c r="B921" s="92">
        <f t="shared" si="2"/>
        <v>12</v>
      </c>
      <c r="C921" s="99"/>
      <c r="D921" s="99"/>
      <c r="E921" s="99"/>
      <c r="F921" s="99"/>
      <c r="G921" s="103"/>
      <c r="H921" s="99"/>
      <c r="I921" s="97" t="str">
        <f t="shared" si="3"/>
        <v/>
      </c>
      <c r="J921" s="97"/>
      <c r="K921" s="97"/>
      <c r="L921" s="97"/>
      <c r="M921" s="97"/>
      <c r="N921" s="97"/>
      <c r="O921" s="97"/>
      <c r="P921" s="97"/>
    </row>
    <row r="922">
      <c r="A922" s="92">
        <f t="shared" si="1"/>
        <v>7</v>
      </c>
      <c r="B922" s="92">
        <f t="shared" si="2"/>
        <v>12</v>
      </c>
      <c r="C922" s="99"/>
      <c r="D922" s="99"/>
      <c r="E922" s="99"/>
      <c r="F922" s="99"/>
      <c r="G922" s="103"/>
      <c r="H922" s="99"/>
      <c r="I922" s="97" t="str">
        <f t="shared" si="3"/>
        <v/>
      </c>
      <c r="J922" s="97"/>
      <c r="K922" s="97"/>
      <c r="L922" s="97"/>
      <c r="M922" s="97"/>
      <c r="N922" s="97"/>
      <c r="O922" s="97"/>
      <c r="P922" s="97"/>
    </row>
    <row r="923">
      <c r="A923" s="92">
        <f t="shared" si="1"/>
        <v>7</v>
      </c>
      <c r="B923" s="92">
        <f t="shared" si="2"/>
        <v>12</v>
      </c>
      <c r="C923" s="99"/>
      <c r="D923" s="99"/>
      <c r="E923" s="99"/>
      <c r="F923" s="99"/>
      <c r="G923" s="103"/>
      <c r="H923" s="99"/>
      <c r="I923" s="97" t="str">
        <f t="shared" si="3"/>
        <v/>
      </c>
      <c r="J923" s="97"/>
      <c r="K923" s="97"/>
      <c r="L923" s="97"/>
      <c r="M923" s="97"/>
      <c r="N923" s="97"/>
      <c r="O923" s="97"/>
      <c r="P923" s="97"/>
    </row>
    <row r="924">
      <c r="A924" s="92">
        <f t="shared" si="1"/>
        <v>7</v>
      </c>
      <c r="B924" s="92">
        <f t="shared" si="2"/>
        <v>12</v>
      </c>
      <c r="C924" s="99"/>
      <c r="D924" s="99"/>
      <c r="E924" s="99"/>
      <c r="F924" s="99"/>
      <c r="G924" s="103"/>
      <c r="H924" s="99"/>
      <c r="I924" s="97" t="str">
        <f t="shared" si="3"/>
        <v/>
      </c>
      <c r="J924" s="97"/>
      <c r="K924" s="97"/>
      <c r="L924" s="97"/>
      <c r="M924" s="97"/>
      <c r="N924" s="97"/>
      <c r="O924" s="97"/>
      <c r="P924" s="97"/>
    </row>
    <row r="925">
      <c r="A925" s="92">
        <f t="shared" si="1"/>
        <v>7</v>
      </c>
      <c r="B925" s="92">
        <f t="shared" si="2"/>
        <v>12</v>
      </c>
      <c r="C925" s="99"/>
      <c r="D925" s="99"/>
      <c r="E925" s="99"/>
      <c r="F925" s="99"/>
      <c r="G925" s="103"/>
      <c r="H925" s="99"/>
      <c r="I925" s="97" t="str">
        <f t="shared" si="3"/>
        <v/>
      </c>
      <c r="J925" s="97"/>
      <c r="K925" s="97"/>
      <c r="L925" s="97"/>
      <c r="M925" s="97"/>
      <c r="N925" s="97"/>
      <c r="O925" s="97"/>
      <c r="P925" s="97"/>
    </row>
    <row r="926">
      <c r="A926" s="92">
        <f t="shared" si="1"/>
        <v>7</v>
      </c>
      <c r="B926" s="92">
        <f t="shared" si="2"/>
        <v>12</v>
      </c>
      <c r="C926" s="99"/>
      <c r="D926" s="99"/>
      <c r="E926" s="99"/>
      <c r="F926" s="99"/>
      <c r="G926" s="103"/>
      <c r="H926" s="99"/>
      <c r="I926" s="97" t="str">
        <f t="shared" si="3"/>
        <v/>
      </c>
      <c r="J926" s="97"/>
      <c r="K926" s="97"/>
      <c r="L926" s="97"/>
      <c r="M926" s="97"/>
      <c r="N926" s="97"/>
      <c r="O926" s="97"/>
      <c r="P926" s="97"/>
    </row>
    <row r="927">
      <c r="A927" s="92">
        <f t="shared" si="1"/>
        <v>7</v>
      </c>
      <c r="B927" s="92">
        <f t="shared" si="2"/>
        <v>12</v>
      </c>
      <c r="C927" s="99"/>
      <c r="D927" s="99"/>
      <c r="E927" s="99"/>
      <c r="F927" s="99"/>
      <c r="G927" s="103"/>
      <c r="H927" s="99"/>
      <c r="I927" s="97" t="str">
        <f t="shared" si="3"/>
        <v/>
      </c>
      <c r="J927" s="97"/>
      <c r="K927" s="97"/>
      <c r="L927" s="97"/>
      <c r="M927" s="97"/>
      <c r="N927" s="97"/>
      <c r="O927" s="97"/>
      <c r="P927" s="97"/>
    </row>
    <row r="928">
      <c r="A928" s="92">
        <f t="shared" si="1"/>
        <v>7</v>
      </c>
      <c r="B928" s="92">
        <f t="shared" si="2"/>
        <v>12</v>
      </c>
      <c r="C928" s="99"/>
      <c r="D928" s="99"/>
      <c r="E928" s="99"/>
      <c r="F928" s="99"/>
      <c r="G928" s="103"/>
      <c r="H928" s="99"/>
      <c r="I928" s="97" t="str">
        <f t="shared" si="3"/>
        <v/>
      </c>
      <c r="J928" s="97"/>
      <c r="K928" s="97"/>
      <c r="L928" s="97"/>
      <c r="M928" s="97"/>
      <c r="N928" s="97"/>
      <c r="O928" s="97"/>
      <c r="P928" s="97"/>
    </row>
    <row r="929">
      <c r="A929" s="92">
        <f t="shared" si="1"/>
        <v>7</v>
      </c>
      <c r="B929" s="92">
        <f t="shared" si="2"/>
        <v>12</v>
      </c>
      <c r="C929" s="99"/>
      <c r="D929" s="99"/>
      <c r="E929" s="99"/>
      <c r="F929" s="99"/>
      <c r="G929" s="103"/>
      <c r="H929" s="99"/>
      <c r="I929" s="97" t="str">
        <f t="shared" si="3"/>
        <v/>
      </c>
      <c r="J929" s="97"/>
      <c r="K929" s="97"/>
      <c r="L929" s="97"/>
      <c r="M929" s="97"/>
      <c r="N929" s="97"/>
      <c r="O929" s="97"/>
      <c r="P929" s="97"/>
    </row>
    <row r="930">
      <c r="A930" s="92">
        <f t="shared" si="1"/>
        <v>7</v>
      </c>
      <c r="B930" s="92">
        <f t="shared" si="2"/>
        <v>12</v>
      </c>
      <c r="C930" s="99"/>
      <c r="D930" s="99"/>
      <c r="E930" s="99"/>
      <c r="F930" s="99"/>
      <c r="G930" s="103"/>
      <c r="H930" s="99"/>
      <c r="I930" s="97" t="str">
        <f t="shared" si="3"/>
        <v/>
      </c>
      <c r="J930" s="97"/>
      <c r="K930" s="97"/>
      <c r="L930" s="97"/>
      <c r="M930" s="97"/>
      <c r="N930" s="97"/>
      <c r="O930" s="97"/>
      <c r="P930" s="97"/>
    </row>
    <row r="931">
      <c r="A931" s="92">
        <f t="shared" si="1"/>
        <v>7</v>
      </c>
      <c r="B931" s="92">
        <f t="shared" si="2"/>
        <v>12</v>
      </c>
      <c r="C931" s="99"/>
      <c r="D931" s="99"/>
      <c r="E931" s="99"/>
      <c r="F931" s="99"/>
      <c r="G931" s="103"/>
      <c r="H931" s="99"/>
      <c r="I931" s="97" t="str">
        <f t="shared" si="3"/>
        <v/>
      </c>
      <c r="J931" s="97"/>
      <c r="K931" s="97"/>
      <c r="L931" s="97"/>
      <c r="M931" s="97"/>
      <c r="N931" s="97"/>
      <c r="O931" s="97"/>
      <c r="P931" s="97"/>
    </row>
    <row r="932">
      <c r="A932" s="92">
        <f t="shared" si="1"/>
        <v>7</v>
      </c>
      <c r="B932" s="92">
        <f t="shared" si="2"/>
        <v>12</v>
      </c>
      <c r="C932" s="99"/>
      <c r="D932" s="99"/>
      <c r="E932" s="99"/>
      <c r="F932" s="99"/>
      <c r="G932" s="103"/>
      <c r="H932" s="99"/>
      <c r="I932" s="97" t="str">
        <f t="shared" si="3"/>
        <v/>
      </c>
      <c r="J932" s="97"/>
      <c r="K932" s="97"/>
      <c r="L932" s="97"/>
      <c r="M932" s="97"/>
      <c r="N932" s="97"/>
      <c r="O932" s="97"/>
      <c r="P932" s="97"/>
    </row>
    <row r="933">
      <c r="A933" s="92">
        <f t="shared" si="1"/>
        <v>7</v>
      </c>
      <c r="B933" s="92">
        <f t="shared" si="2"/>
        <v>12</v>
      </c>
      <c r="C933" s="99"/>
      <c r="D933" s="99"/>
      <c r="E933" s="99"/>
      <c r="F933" s="99"/>
      <c r="G933" s="103"/>
      <c r="H933" s="99"/>
      <c r="I933" s="97" t="str">
        <f t="shared" si="3"/>
        <v/>
      </c>
      <c r="J933" s="97"/>
      <c r="K933" s="97"/>
      <c r="L933" s="97"/>
      <c r="M933" s="97"/>
      <c r="N933" s="97"/>
      <c r="O933" s="97"/>
      <c r="P933" s="97"/>
    </row>
    <row r="934">
      <c r="A934" s="92">
        <f t="shared" si="1"/>
        <v>7</v>
      </c>
      <c r="B934" s="92">
        <f t="shared" si="2"/>
        <v>12</v>
      </c>
      <c r="C934" s="99"/>
      <c r="D934" s="99"/>
      <c r="E934" s="99"/>
      <c r="F934" s="99"/>
      <c r="G934" s="103"/>
      <c r="H934" s="99"/>
      <c r="I934" s="97" t="str">
        <f t="shared" si="3"/>
        <v/>
      </c>
      <c r="J934" s="97"/>
      <c r="K934" s="97"/>
      <c r="L934" s="97"/>
      <c r="M934" s="97"/>
      <c r="N934" s="97"/>
      <c r="O934" s="97"/>
      <c r="P934" s="97"/>
    </row>
    <row r="935">
      <c r="A935" s="92">
        <f t="shared" si="1"/>
        <v>7</v>
      </c>
      <c r="B935" s="92">
        <f t="shared" si="2"/>
        <v>12</v>
      </c>
      <c r="C935" s="99"/>
      <c r="D935" s="99"/>
      <c r="E935" s="99"/>
      <c r="F935" s="99"/>
      <c r="G935" s="103"/>
      <c r="H935" s="99"/>
      <c r="I935" s="97" t="str">
        <f t="shared" si="3"/>
        <v/>
      </c>
      <c r="J935" s="97"/>
      <c r="K935" s="97"/>
      <c r="L935" s="97"/>
      <c r="M935" s="97"/>
      <c r="N935" s="97"/>
      <c r="O935" s="97"/>
      <c r="P935" s="97"/>
    </row>
    <row r="936">
      <c r="A936" s="92">
        <f t="shared" si="1"/>
        <v>7</v>
      </c>
      <c r="B936" s="92">
        <f t="shared" si="2"/>
        <v>12</v>
      </c>
      <c r="C936" s="99"/>
      <c r="D936" s="99"/>
      <c r="E936" s="99"/>
      <c r="F936" s="99"/>
      <c r="G936" s="103"/>
      <c r="H936" s="99"/>
      <c r="I936" s="97" t="str">
        <f t="shared" si="3"/>
        <v/>
      </c>
      <c r="J936" s="97"/>
      <c r="K936" s="97"/>
      <c r="L936" s="97"/>
      <c r="M936" s="97"/>
      <c r="N936" s="97"/>
      <c r="O936" s="97"/>
      <c r="P936" s="97"/>
    </row>
    <row r="937">
      <c r="A937" s="92">
        <f t="shared" si="1"/>
        <v>7</v>
      </c>
      <c r="B937" s="92">
        <f t="shared" si="2"/>
        <v>12</v>
      </c>
      <c r="C937" s="99"/>
      <c r="D937" s="99"/>
      <c r="E937" s="99"/>
      <c r="F937" s="99"/>
      <c r="G937" s="103"/>
      <c r="H937" s="99"/>
      <c r="I937" s="97" t="str">
        <f t="shared" si="3"/>
        <v/>
      </c>
      <c r="J937" s="97"/>
      <c r="K937" s="97"/>
      <c r="L937" s="97"/>
      <c r="M937" s="97"/>
      <c r="N937" s="97"/>
      <c r="O937" s="97"/>
      <c r="P937" s="97"/>
    </row>
    <row r="938">
      <c r="A938" s="92">
        <f t="shared" si="1"/>
        <v>7</v>
      </c>
      <c r="B938" s="92">
        <f t="shared" si="2"/>
        <v>12</v>
      </c>
      <c r="C938" s="99"/>
      <c r="D938" s="99"/>
      <c r="E938" s="99"/>
      <c r="F938" s="99"/>
      <c r="G938" s="103"/>
      <c r="H938" s="99"/>
      <c r="I938" s="97" t="str">
        <f t="shared" si="3"/>
        <v/>
      </c>
      <c r="J938" s="97"/>
      <c r="K938" s="97"/>
      <c r="L938" s="97"/>
      <c r="M938" s="97"/>
      <c r="N938" s="97"/>
      <c r="O938" s="97"/>
      <c r="P938" s="97"/>
    </row>
    <row r="939">
      <c r="A939" s="92">
        <f t="shared" si="1"/>
        <v>7</v>
      </c>
      <c r="B939" s="92">
        <f t="shared" si="2"/>
        <v>12</v>
      </c>
      <c r="C939" s="99"/>
      <c r="D939" s="99"/>
      <c r="E939" s="99"/>
      <c r="F939" s="99"/>
      <c r="G939" s="103"/>
      <c r="H939" s="99"/>
      <c r="I939" s="97" t="str">
        <f t="shared" si="3"/>
        <v/>
      </c>
      <c r="J939" s="97"/>
      <c r="K939" s="97"/>
      <c r="L939" s="97"/>
      <c r="M939" s="97"/>
      <c r="N939" s="97"/>
      <c r="O939" s="97"/>
      <c r="P939" s="97"/>
    </row>
    <row r="940">
      <c r="A940" s="92">
        <f t="shared" si="1"/>
        <v>7</v>
      </c>
      <c r="B940" s="92">
        <f t="shared" si="2"/>
        <v>12</v>
      </c>
      <c r="C940" s="99"/>
      <c r="D940" s="99"/>
      <c r="E940" s="99"/>
      <c r="F940" s="99"/>
      <c r="G940" s="103"/>
      <c r="H940" s="99"/>
      <c r="I940" s="97" t="str">
        <f t="shared" si="3"/>
        <v/>
      </c>
      <c r="J940" s="97"/>
      <c r="K940" s="97"/>
      <c r="L940" s="97"/>
      <c r="M940" s="97"/>
      <c r="N940" s="97"/>
      <c r="O940" s="97"/>
      <c r="P940" s="97"/>
    </row>
    <row r="941">
      <c r="A941" s="92">
        <f t="shared" si="1"/>
        <v>7</v>
      </c>
      <c r="B941" s="92">
        <f t="shared" si="2"/>
        <v>12</v>
      </c>
      <c r="C941" s="99"/>
      <c r="D941" s="99"/>
      <c r="E941" s="99"/>
      <c r="F941" s="99"/>
      <c r="G941" s="103"/>
      <c r="H941" s="99"/>
      <c r="I941" s="97" t="str">
        <f t="shared" si="3"/>
        <v/>
      </c>
      <c r="J941" s="97"/>
      <c r="K941" s="97"/>
      <c r="L941" s="97"/>
      <c r="M941" s="97"/>
      <c r="N941" s="97"/>
      <c r="O941" s="97"/>
      <c r="P941" s="97"/>
    </row>
    <row r="942">
      <c r="A942" s="92">
        <f t="shared" si="1"/>
        <v>7</v>
      </c>
      <c r="B942" s="92">
        <f t="shared" si="2"/>
        <v>12</v>
      </c>
      <c r="C942" s="99"/>
      <c r="D942" s="99"/>
      <c r="E942" s="99"/>
      <c r="F942" s="99"/>
      <c r="G942" s="103"/>
      <c r="H942" s="99"/>
      <c r="I942" s="97" t="str">
        <f t="shared" si="3"/>
        <v/>
      </c>
      <c r="J942" s="97"/>
      <c r="K942" s="97"/>
      <c r="L942" s="97"/>
      <c r="M942" s="97"/>
      <c r="N942" s="97"/>
      <c r="O942" s="97"/>
      <c r="P942" s="97"/>
    </row>
    <row r="943">
      <c r="A943" s="92">
        <f t="shared" si="1"/>
        <v>7</v>
      </c>
      <c r="B943" s="92">
        <f t="shared" si="2"/>
        <v>12</v>
      </c>
      <c r="C943" s="99"/>
      <c r="D943" s="99"/>
      <c r="E943" s="99"/>
      <c r="F943" s="99"/>
      <c r="G943" s="103"/>
      <c r="H943" s="99"/>
      <c r="I943" s="97" t="str">
        <f t="shared" si="3"/>
        <v/>
      </c>
      <c r="J943" s="97"/>
      <c r="K943" s="97"/>
      <c r="L943" s="97"/>
      <c r="M943" s="97"/>
      <c r="N943" s="97"/>
      <c r="O943" s="97"/>
      <c r="P943" s="97"/>
    </row>
    <row r="944">
      <c r="A944" s="92">
        <f t="shared" si="1"/>
        <v>7</v>
      </c>
      <c r="B944" s="92">
        <f t="shared" si="2"/>
        <v>12</v>
      </c>
      <c r="C944" s="99"/>
      <c r="D944" s="99"/>
      <c r="E944" s="99"/>
      <c r="F944" s="99"/>
      <c r="G944" s="103"/>
      <c r="H944" s="99"/>
      <c r="I944" s="97" t="str">
        <f t="shared" si="3"/>
        <v/>
      </c>
      <c r="J944" s="97"/>
      <c r="K944" s="97"/>
      <c r="L944" s="97"/>
      <c r="M944" s="97"/>
      <c r="N944" s="97"/>
      <c r="O944" s="97"/>
      <c r="P944" s="97"/>
    </row>
    <row r="945">
      <c r="A945" s="92">
        <f t="shared" si="1"/>
        <v>7</v>
      </c>
      <c r="B945" s="92">
        <f t="shared" si="2"/>
        <v>12</v>
      </c>
      <c r="C945" s="99"/>
      <c r="D945" s="99"/>
      <c r="E945" s="99"/>
      <c r="F945" s="99"/>
      <c r="G945" s="103"/>
      <c r="H945" s="99"/>
      <c r="I945" s="97" t="str">
        <f t="shared" si="3"/>
        <v/>
      </c>
      <c r="J945" s="97"/>
      <c r="K945" s="97"/>
      <c r="L945" s="97"/>
      <c r="M945" s="97"/>
      <c r="N945" s="97"/>
      <c r="O945" s="97"/>
      <c r="P945" s="97"/>
    </row>
    <row r="946">
      <c r="A946" s="92">
        <f t="shared" si="1"/>
        <v>7</v>
      </c>
      <c r="B946" s="92">
        <f t="shared" si="2"/>
        <v>12</v>
      </c>
      <c r="C946" s="99"/>
      <c r="D946" s="99"/>
      <c r="E946" s="99"/>
      <c r="F946" s="99"/>
      <c r="G946" s="103"/>
      <c r="H946" s="99"/>
      <c r="I946" s="97" t="str">
        <f t="shared" si="3"/>
        <v/>
      </c>
      <c r="J946" s="97"/>
      <c r="K946" s="97"/>
      <c r="L946" s="97"/>
      <c r="M946" s="97"/>
      <c r="N946" s="97"/>
      <c r="O946" s="97"/>
      <c r="P946" s="97"/>
    </row>
    <row r="947">
      <c r="A947" s="92">
        <f t="shared" si="1"/>
        <v>7</v>
      </c>
      <c r="B947" s="92">
        <f t="shared" si="2"/>
        <v>12</v>
      </c>
      <c r="C947" s="99"/>
      <c r="D947" s="99"/>
      <c r="E947" s="99"/>
      <c r="F947" s="99"/>
      <c r="G947" s="103"/>
      <c r="H947" s="99"/>
      <c r="I947" s="97" t="str">
        <f t="shared" si="3"/>
        <v/>
      </c>
      <c r="J947" s="97"/>
      <c r="K947" s="97"/>
      <c r="L947" s="97"/>
      <c r="M947" s="97"/>
      <c r="N947" s="97"/>
      <c r="O947" s="97"/>
      <c r="P947" s="97"/>
    </row>
    <row r="948">
      <c r="A948" s="92">
        <f t="shared" si="1"/>
        <v>7</v>
      </c>
      <c r="B948" s="92">
        <f t="shared" si="2"/>
        <v>12</v>
      </c>
      <c r="C948" s="99"/>
      <c r="D948" s="99"/>
      <c r="E948" s="99"/>
      <c r="F948" s="99"/>
      <c r="G948" s="103"/>
      <c r="H948" s="99"/>
      <c r="I948" s="97" t="str">
        <f t="shared" si="3"/>
        <v/>
      </c>
      <c r="J948" s="97"/>
      <c r="K948" s="97"/>
      <c r="L948" s="97"/>
      <c r="M948" s="97"/>
      <c r="N948" s="97"/>
      <c r="O948" s="97"/>
      <c r="P948" s="97"/>
    </row>
    <row r="949">
      <c r="A949" s="92">
        <f t="shared" si="1"/>
        <v>7</v>
      </c>
      <c r="B949" s="92">
        <f t="shared" si="2"/>
        <v>12</v>
      </c>
      <c r="C949" s="99"/>
      <c r="D949" s="99"/>
      <c r="E949" s="99"/>
      <c r="F949" s="99"/>
      <c r="G949" s="103"/>
      <c r="H949" s="99"/>
      <c r="I949" s="97" t="str">
        <f t="shared" si="3"/>
        <v/>
      </c>
      <c r="J949" s="97"/>
      <c r="K949" s="97"/>
      <c r="L949" s="97"/>
      <c r="M949" s="97"/>
      <c r="N949" s="97"/>
      <c r="O949" s="97"/>
      <c r="P949" s="97"/>
    </row>
    <row r="950">
      <c r="A950" s="92">
        <f t="shared" si="1"/>
        <v>7</v>
      </c>
      <c r="B950" s="92">
        <f t="shared" si="2"/>
        <v>12</v>
      </c>
      <c r="C950" s="99"/>
      <c r="D950" s="99"/>
      <c r="E950" s="99"/>
      <c r="F950" s="99"/>
      <c r="G950" s="103"/>
      <c r="H950" s="99"/>
      <c r="I950" s="97" t="str">
        <f t="shared" si="3"/>
        <v/>
      </c>
      <c r="J950" s="97"/>
      <c r="K950" s="97"/>
      <c r="L950" s="97"/>
      <c r="M950" s="97"/>
      <c r="N950" s="97"/>
      <c r="O950" s="97"/>
      <c r="P950" s="97"/>
    </row>
    <row r="951">
      <c r="A951" s="104"/>
      <c r="B951" s="104"/>
      <c r="C951" s="105"/>
      <c r="D951" s="105"/>
      <c r="E951" s="105"/>
      <c r="F951" s="105"/>
      <c r="G951" s="106"/>
      <c r="H951" s="105"/>
    </row>
    <row r="952">
      <c r="A952" s="104"/>
      <c r="B952" s="104"/>
      <c r="C952" s="105"/>
      <c r="D952" s="105"/>
      <c r="E952" s="105"/>
      <c r="F952" s="105"/>
      <c r="G952" s="106"/>
      <c r="H952" s="105"/>
    </row>
    <row r="953">
      <c r="A953" s="104"/>
      <c r="B953" s="104"/>
      <c r="C953" s="105"/>
      <c r="D953" s="105"/>
      <c r="E953" s="105"/>
      <c r="F953" s="105"/>
      <c r="G953" s="106"/>
      <c r="H953" s="105"/>
    </row>
    <row r="954">
      <c r="A954" s="104"/>
      <c r="B954" s="104"/>
      <c r="C954" s="105"/>
      <c r="D954" s="105"/>
      <c r="E954" s="105"/>
      <c r="F954" s="105"/>
      <c r="G954" s="106"/>
      <c r="H954" s="105"/>
    </row>
    <row r="955">
      <c r="A955" s="104"/>
      <c r="B955" s="104"/>
      <c r="C955" s="105"/>
      <c r="D955" s="105"/>
      <c r="E955" s="105"/>
      <c r="F955" s="105"/>
      <c r="G955" s="106"/>
      <c r="H955" s="105"/>
    </row>
    <row r="956">
      <c r="A956" s="104"/>
      <c r="B956" s="104"/>
      <c r="C956" s="105"/>
      <c r="D956" s="105"/>
      <c r="E956" s="105"/>
      <c r="F956" s="105"/>
      <c r="G956" s="106"/>
      <c r="H956" s="105"/>
    </row>
    <row r="957">
      <c r="A957" s="104"/>
      <c r="B957" s="104"/>
      <c r="C957" s="105"/>
      <c r="D957" s="105"/>
      <c r="E957" s="105"/>
      <c r="F957" s="105"/>
      <c r="G957" s="106"/>
      <c r="H957" s="105"/>
    </row>
    <row r="958">
      <c r="A958" s="104"/>
      <c r="B958" s="104"/>
      <c r="C958" s="105"/>
      <c r="D958" s="105"/>
      <c r="E958" s="105"/>
      <c r="F958" s="105"/>
      <c r="G958" s="106"/>
      <c r="H958" s="105"/>
    </row>
    <row r="959">
      <c r="A959" s="104"/>
      <c r="B959" s="104"/>
      <c r="C959" s="105"/>
      <c r="D959" s="105"/>
      <c r="E959" s="105"/>
      <c r="F959" s="105"/>
      <c r="G959" s="106"/>
      <c r="H959" s="105"/>
    </row>
    <row r="960">
      <c r="A960" s="104"/>
      <c r="B960" s="104"/>
      <c r="C960" s="105"/>
      <c r="D960" s="105"/>
      <c r="E960" s="105"/>
      <c r="F960" s="105"/>
      <c r="G960" s="106"/>
      <c r="H960" s="105"/>
    </row>
    <row r="961">
      <c r="A961" s="104"/>
      <c r="B961" s="104"/>
      <c r="C961" s="105"/>
      <c r="D961" s="105"/>
      <c r="E961" s="105"/>
      <c r="F961" s="105"/>
      <c r="G961" s="106"/>
      <c r="H961" s="105"/>
    </row>
    <row r="962">
      <c r="A962" s="104"/>
      <c r="B962" s="104"/>
      <c r="C962" s="105"/>
      <c r="D962" s="105"/>
      <c r="E962" s="105"/>
      <c r="F962" s="105"/>
      <c r="G962" s="106"/>
      <c r="H962" s="105"/>
    </row>
    <row r="963">
      <c r="A963" s="104"/>
      <c r="B963" s="104"/>
      <c r="C963" s="105"/>
      <c r="D963" s="105"/>
      <c r="E963" s="105"/>
      <c r="F963" s="105"/>
      <c r="G963" s="106"/>
      <c r="H963" s="105"/>
    </row>
    <row r="964">
      <c r="A964" s="104"/>
      <c r="B964" s="104"/>
      <c r="C964" s="105"/>
      <c r="D964" s="105"/>
      <c r="E964" s="105"/>
      <c r="F964" s="105"/>
      <c r="G964" s="106"/>
      <c r="H964" s="105"/>
    </row>
    <row r="965">
      <c r="A965" s="104"/>
      <c r="B965" s="104"/>
      <c r="C965" s="105"/>
      <c r="D965" s="105"/>
      <c r="E965" s="105"/>
      <c r="F965" s="105"/>
      <c r="G965" s="106"/>
      <c r="H965" s="105"/>
    </row>
    <row r="966">
      <c r="A966" s="104"/>
      <c r="B966" s="104"/>
      <c r="C966" s="105"/>
      <c r="D966" s="105"/>
      <c r="E966" s="105"/>
      <c r="F966" s="105"/>
      <c r="G966" s="106"/>
      <c r="H966" s="105"/>
    </row>
    <row r="967">
      <c r="A967" s="104"/>
      <c r="B967" s="104"/>
      <c r="C967" s="105"/>
      <c r="D967" s="105"/>
      <c r="E967" s="105"/>
      <c r="F967" s="105"/>
      <c r="G967" s="106"/>
      <c r="H967" s="105"/>
    </row>
    <row r="968">
      <c r="A968" s="104"/>
      <c r="B968" s="104"/>
      <c r="C968" s="105"/>
      <c r="D968" s="105"/>
      <c r="E968" s="105"/>
      <c r="F968" s="105"/>
      <c r="G968" s="106"/>
      <c r="H968" s="105"/>
    </row>
    <row r="969">
      <c r="A969" s="104"/>
      <c r="B969" s="104"/>
      <c r="C969" s="105"/>
      <c r="D969" s="105"/>
      <c r="E969" s="105"/>
      <c r="F969" s="105"/>
      <c r="G969" s="106"/>
      <c r="H969" s="105"/>
    </row>
    <row r="970">
      <c r="A970" s="104"/>
      <c r="B970" s="104"/>
      <c r="C970" s="105"/>
      <c r="D970" s="105"/>
      <c r="E970" s="105"/>
      <c r="F970" s="105"/>
      <c r="G970" s="106"/>
      <c r="H970" s="105"/>
    </row>
    <row r="971">
      <c r="A971" s="104"/>
      <c r="B971" s="104"/>
      <c r="C971" s="105"/>
      <c r="D971" s="105"/>
      <c r="E971" s="105"/>
      <c r="F971" s="105"/>
      <c r="G971" s="106"/>
      <c r="H971" s="105"/>
    </row>
    <row r="972">
      <c r="A972" s="104"/>
      <c r="B972" s="104"/>
      <c r="C972" s="105"/>
      <c r="D972" s="105"/>
      <c r="E972" s="105"/>
      <c r="F972" s="105"/>
      <c r="G972" s="106"/>
      <c r="H972" s="105"/>
    </row>
    <row r="973">
      <c r="A973" s="104"/>
      <c r="B973" s="104"/>
      <c r="C973" s="105"/>
      <c r="D973" s="105"/>
      <c r="E973" s="105"/>
      <c r="F973" s="105"/>
      <c r="G973" s="106"/>
      <c r="H973" s="105"/>
    </row>
    <row r="974">
      <c r="A974" s="104"/>
      <c r="B974" s="104"/>
      <c r="C974" s="105"/>
      <c r="D974" s="105"/>
      <c r="E974" s="105"/>
      <c r="F974" s="105"/>
      <c r="G974" s="106"/>
      <c r="H974" s="105"/>
    </row>
    <row r="975">
      <c r="A975" s="104"/>
      <c r="B975" s="104"/>
      <c r="C975" s="105"/>
      <c r="D975" s="105"/>
      <c r="E975" s="105"/>
      <c r="F975" s="105"/>
      <c r="G975" s="106"/>
      <c r="H975" s="105"/>
    </row>
    <row r="976">
      <c r="A976" s="104"/>
      <c r="B976" s="104"/>
      <c r="C976" s="105"/>
      <c r="D976" s="105"/>
      <c r="E976" s="105"/>
      <c r="F976" s="105"/>
      <c r="G976" s="106"/>
      <c r="H976" s="105"/>
    </row>
    <row r="977">
      <c r="A977" s="104"/>
      <c r="B977" s="104"/>
      <c r="C977" s="105"/>
      <c r="D977" s="105"/>
      <c r="E977" s="105"/>
      <c r="F977" s="105"/>
      <c r="G977" s="106"/>
      <c r="H977" s="105"/>
    </row>
    <row r="978">
      <c r="A978" s="104"/>
      <c r="B978" s="104"/>
      <c r="C978" s="105"/>
      <c r="D978" s="105"/>
      <c r="E978" s="105"/>
      <c r="F978" s="105"/>
      <c r="G978" s="106"/>
      <c r="H978" s="105"/>
    </row>
    <row r="979">
      <c r="A979" s="104"/>
      <c r="B979" s="104"/>
      <c r="C979" s="105"/>
      <c r="D979" s="105"/>
      <c r="E979" s="105"/>
      <c r="F979" s="105"/>
      <c r="G979" s="106"/>
      <c r="H979" s="105"/>
    </row>
    <row r="980">
      <c r="A980" s="104"/>
      <c r="B980" s="104"/>
      <c r="C980" s="105"/>
      <c r="D980" s="105"/>
      <c r="E980" s="105"/>
      <c r="F980" s="105"/>
      <c r="G980" s="106"/>
      <c r="H980" s="105"/>
    </row>
    <row r="981">
      <c r="A981" s="104"/>
      <c r="B981" s="104"/>
      <c r="C981" s="105"/>
      <c r="D981" s="105"/>
      <c r="E981" s="105"/>
      <c r="F981" s="105"/>
      <c r="G981" s="106"/>
      <c r="H981" s="105"/>
    </row>
    <row r="982">
      <c r="A982" s="104"/>
      <c r="B982" s="104"/>
      <c r="C982" s="105"/>
      <c r="D982" s="105"/>
      <c r="E982" s="105"/>
      <c r="F982" s="105"/>
      <c r="G982" s="106"/>
      <c r="H982" s="105"/>
    </row>
    <row r="983">
      <c r="A983" s="104"/>
      <c r="B983" s="104"/>
      <c r="C983" s="105"/>
      <c r="D983" s="105"/>
      <c r="E983" s="105"/>
      <c r="F983" s="105"/>
      <c r="G983" s="106"/>
      <c r="H983" s="105"/>
    </row>
    <row r="984">
      <c r="A984" s="104"/>
      <c r="B984" s="104"/>
      <c r="C984" s="105"/>
      <c r="D984" s="105"/>
      <c r="E984" s="105"/>
      <c r="F984" s="105"/>
      <c r="G984" s="106"/>
      <c r="H984" s="105"/>
    </row>
    <row r="985">
      <c r="A985" s="104"/>
      <c r="B985" s="104"/>
      <c r="C985" s="105"/>
      <c r="D985" s="105"/>
      <c r="E985" s="105"/>
      <c r="F985" s="105"/>
      <c r="G985" s="106"/>
      <c r="H985" s="105"/>
    </row>
    <row r="986">
      <c r="A986" s="104"/>
      <c r="B986" s="104"/>
      <c r="C986" s="105"/>
      <c r="D986" s="105"/>
      <c r="E986" s="105"/>
      <c r="F986" s="105"/>
      <c r="G986" s="106"/>
      <c r="H986" s="105"/>
    </row>
    <row r="987">
      <c r="A987" s="104"/>
      <c r="B987" s="104"/>
      <c r="C987" s="105"/>
      <c r="D987" s="105"/>
      <c r="E987" s="105"/>
      <c r="F987" s="105"/>
      <c r="G987" s="106"/>
      <c r="H987" s="105"/>
    </row>
    <row r="988">
      <c r="A988" s="104"/>
      <c r="B988" s="104"/>
      <c r="C988" s="105"/>
      <c r="D988" s="105"/>
      <c r="E988" s="105"/>
      <c r="F988" s="105"/>
      <c r="G988" s="106"/>
      <c r="H988" s="105"/>
    </row>
    <row r="989">
      <c r="A989" s="104"/>
      <c r="B989" s="104"/>
      <c r="C989" s="105"/>
      <c r="D989" s="105"/>
      <c r="E989" s="105"/>
      <c r="F989" s="105"/>
      <c r="G989" s="106"/>
      <c r="H989" s="105"/>
    </row>
    <row r="990">
      <c r="A990" s="104"/>
      <c r="B990" s="104"/>
      <c r="C990" s="105"/>
      <c r="D990" s="105"/>
      <c r="E990" s="105"/>
      <c r="F990" s="105"/>
      <c r="G990" s="106"/>
      <c r="H990" s="105"/>
    </row>
    <row r="991">
      <c r="A991" s="104"/>
      <c r="B991" s="104"/>
      <c r="C991" s="105"/>
      <c r="D991" s="105"/>
      <c r="E991" s="105"/>
      <c r="F991" s="105"/>
      <c r="G991" s="106"/>
      <c r="H991" s="105"/>
    </row>
    <row r="992">
      <c r="A992" s="104"/>
      <c r="B992" s="104"/>
      <c r="C992" s="105"/>
      <c r="D992" s="105"/>
      <c r="E992" s="105"/>
      <c r="F992" s="105"/>
      <c r="G992" s="106"/>
      <c r="H992" s="105"/>
    </row>
    <row r="993">
      <c r="A993" s="104"/>
      <c r="B993" s="104"/>
      <c r="C993" s="105"/>
      <c r="D993" s="105"/>
      <c r="E993" s="105"/>
      <c r="F993" s="105"/>
      <c r="G993" s="106"/>
      <c r="H993" s="105"/>
    </row>
    <row r="994">
      <c r="A994" s="104"/>
      <c r="B994" s="104"/>
      <c r="C994" s="105"/>
      <c r="D994" s="105"/>
      <c r="E994" s="105"/>
      <c r="F994" s="105"/>
      <c r="G994" s="106"/>
      <c r="H994" s="105"/>
    </row>
    <row r="995">
      <c r="A995" s="104"/>
      <c r="B995" s="104"/>
      <c r="C995" s="105"/>
      <c r="D995" s="105"/>
      <c r="E995" s="105"/>
      <c r="F995" s="105"/>
      <c r="G995" s="106"/>
      <c r="H995" s="105"/>
    </row>
    <row r="996">
      <c r="A996" s="104"/>
      <c r="B996" s="104"/>
      <c r="C996" s="105"/>
      <c r="D996" s="105"/>
      <c r="E996" s="105"/>
      <c r="F996" s="105"/>
      <c r="G996" s="106"/>
      <c r="H996" s="105"/>
    </row>
    <row r="997">
      <c r="A997" s="104"/>
      <c r="B997" s="104"/>
      <c r="C997" s="105"/>
      <c r="D997" s="105"/>
      <c r="E997" s="105"/>
      <c r="F997" s="105"/>
      <c r="G997" s="106"/>
      <c r="H997" s="105"/>
    </row>
    <row r="998">
      <c r="A998" s="104"/>
      <c r="B998" s="104"/>
      <c r="C998" s="105"/>
      <c r="D998" s="105"/>
      <c r="E998" s="105"/>
      <c r="F998" s="105"/>
      <c r="G998" s="106"/>
      <c r="H998" s="105"/>
    </row>
    <row r="999">
      <c r="A999" s="104"/>
      <c r="B999" s="104"/>
      <c r="C999" s="105"/>
      <c r="D999" s="105"/>
      <c r="E999" s="105"/>
      <c r="F999" s="105"/>
      <c r="G999" s="106"/>
      <c r="H999" s="105"/>
    </row>
    <row r="1000">
      <c r="A1000" s="104"/>
      <c r="B1000" s="104"/>
      <c r="C1000" s="105"/>
      <c r="D1000" s="105"/>
      <c r="E1000" s="105"/>
      <c r="F1000" s="105"/>
      <c r="G1000" s="106"/>
      <c r="H1000" s="105"/>
    </row>
    <row r="1001">
      <c r="A1001" s="104"/>
      <c r="B1001" s="104"/>
      <c r="C1001" s="105"/>
      <c r="D1001" s="105"/>
      <c r="E1001" s="105"/>
      <c r="F1001" s="105"/>
      <c r="G1001" s="106"/>
      <c r="H1001" s="105"/>
    </row>
    <row r="1002">
      <c r="A1002" s="104"/>
      <c r="B1002" s="104"/>
      <c r="C1002" s="105"/>
      <c r="D1002" s="105"/>
      <c r="E1002" s="105"/>
      <c r="F1002" s="105"/>
      <c r="G1002" s="106"/>
      <c r="H1002" s="105"/>
    </row>
    <row r="1003">
      <c r="A1003" s="104"/>
      <c r="B1003" s="104"/>
      <c r="C1003" s="105"/>
      <c r="D1003" s="105"/>
      <c r="E1003" s="105"/>
      <c r="F1003" s="105"/>
      <c r="G1003" s="106"/>
      <c r="H1003" s="105"/>
    </row>
    <row r="1004">
      <c r="A1004" s="104"/>
      <c r="B1004" s="104"/>
      <c r="C1004" s="105"/>
      <c r="D1004" s="105"/>
      <c r="E1004" s="105"/>
      <c r="F1004" s="105"/>
      <c r="G1004" s="106"/>
      <c r="H1004" s="105"/>
    </row>
    <row r="1005">
      <c r="A1005" s="104"/>
      <c r="B1005" s="104"/>
      <c r="C1005" s="105"/>
      <c r="D1005" s="105"/>
      <c r="E1005" s="105"/>
      <c r="F1005" s="105"/>
      <c r="G1005" s="106"/>
      <c r="H1005" s="105"/>
    </row>
    <row r="1006">
      <c r="A1006" s="104"/>
      <c r="B1006" s="104"/>
      <c r="C1006" s="105"/>
      <c r="D1006" s="105"/>
      <c r="E1006" s="105"/>
      <c r="F1006" s="105"/>
      <c r="G1006" s="106"/>
      <c r="H1006" s="105"/>
    </row>
    <row r="1007">
      <c r="A1007" s="104"/>
      <c r="B1007" s="104"/>
      <c r="C1007" s="105"/>
      <c r="D1007" s="105"/>
      <c r="E1007" s="105"/>
      <c r="F1007" s="105"/>
      <c r="G1007" s="106"/>
      <c r="H1007" s="105"/>
    </row>
    <row r="1008">
      <c r="A1008" s="104"/>
      <c r="B1008" s="104"/>
      <c r="C1008" s="105"/>
      <c r="D1008" s="105"/>
      <c r="E1008" s="105"/>
      <c r="F1008" s="105"/>
      <c r="G1008" s="106"/>
      <c r="H1008" s="105"/>
    </row>
    <row r="1009">
      <c r="A1009" s="104"/>
      <c r="B1009" s="104"/>
      <c r="C1009" s="105"/>
      <c r="D1009" s="105"/>
      <c r="E1009" s="105"/>
      <c r="F1009" s="105"/>
      <c r="G1009" s="106"/>
      <c r="H1009" s="105"/>
    </row>
    <row r="1010">
      <c r="A1010" s="104"/>
      <c r="B1010" s="104"/>
      <c r="C1010" s="105"/>
      <c r="D1010" s="105"/>
      <c r="E1010" s="105"/>
      <c r="F1010" s="105"/>
      <c r="G1010" s="106"/>
      <c r="H1010" s="105"/>
    </row>
    <row r="1011">
      <c r="A1011" s="104"/>
      <c r="B1011" s="104"/>
      <c r="C1011" s="105"/>
      <c r="D1011" s="105"/>
      <c r="E1011" s="105"/>
      <c r="F1011" s="105"/>
      <c r="G1011" s="106"/>
      <c r="H1011" s="105"/>
    </row>
    <row r="1012">
      <c r="A1012" s="104"/>
      <c r="B1012" s="104"/>
      <c r="C1012" s="105"/>
      <c r="D1012" s="105"/>
      <c r="E1012" s="105"/>
      <c r="F1012" s="105"/>
      <c r="G1012" s="106"/>
      <c r="H1012" s="105"/>
    </row>
    <row r="1013">
      <c r="A1013" s="104"/>
      <c r="B1013" s="104"/>
      <c r="C1013" s="105"/>
      <c r="D1013" s="105"/>
      <c r="E1013" s="105"/>
      <c r="F1013" s="105"/>
      <c r="G1013" s="106"/>
      <c r="H1013" s="105"/>
    </row>
    <row r="1014">
      <c r="A1014" s="104"/>
      <c r="B1014" s="104"/>
      <c r="C1014" s="105"/>
      <c r="D1014" s="105"/>
      <c r="E1014" s="105"/>
      <c r="F1014" s="105"/>
      <c r="G1014" s="106"/>
      <c r="H1014" s="105"/>
    </row>
    <row r="1015">
      <c r="A1015" s="104"/>
      <c r="B1015" s="104"/>
      <c r="C1015" s="105"/>
      <c r="D1015" s="105"/>
      <c r="E1015" s="105"/>
      <c r="F1015" s="105"/>
      <c r="G1015" s="106"/>
      <c r="H1015" s="105"/>
    </row>
    <row r="1016">
      <c r="A1016" s="104"/>
      <c r="B1016" s="104"/>
      <c r="C1016" s="105"/>
      <c r="D1016" s="105"/>
      <c r="E1016" s="105"/>
      <c r="F1016" s="105"/>
      <c r="G1016" s="106"/>
      <c r="H1016" s="105"/>
    </row>
    <row r="1017">
      <c r="A1017" s="104"/>
      <c r="B1017" s="104"/>
      <c r="C1017" s="105"/>
      <c r="D1017" s="105"/>
      <c r="E1017" s="105"/>
      <c r="F1017" s="105"/>
      <c r="G1017" s="106"/>
      <c r="H1017" s="105"/>
    </row>
    <row r="1018">
      <c r="A1018" s="104"/>
      <c r="B1018" s="104"/>
      <c r="C1018" s="105"/>
      <c r="D1018" s="105"/>
      <c r="E1018" s="105"/>
      <c r="F1018" s="105"/>
      <c r="G1018" s="106"/>
      <c r="H1018" s="105"/>
    </row>
    <row r="1019">
      <c r="A1019" s="104"/>
      <c r="B1019" s="104"/>
      <c r="C1019" s="105"/>
      <c r="D1019" s="105"/>
      <c r="E1019" s="105"/>
      <c r="F1019" s="105"/>
      <c r="G1019" s="106"/>
      <c r="H1019" s="105"/>
    </row>
    <row r="1020">
      <c r="A1020" s="104"/>
      <c r="B1020" s="104"/>
      <c r="C1020" s="105"/>
      <c r="D1020" s="105"/>
      <c r="E1020" s="105"/>
      <c r="F1020" s="105"/>
      <c r="G1020" s="106"/>
      <c r="H1020" s="105"/>
    </row>
    <row r="1021">
      <c r="A1021" s="104"/>
      <c r="B1021" s="104"/>
      <c r="C1021" s="105"/>
      <c r="D1021" s="105"/>
      <c r="E1021" s="105"/>
      <c r="F1021" s="105"/>
      <c r="G1021" s="106"/>
      <c r="H1021" s="105"/>
    </row>
    <row r="1022">
      <c r="A1022" s="104"/>
      <c r="B1022" s="104"/>
      <c r="C1022" s="105"/>
      <c r="D1022" s="105"/>
      <c r="E1022" s="105"/>
      <c r="F1022" s="105"/>
      <c r="G1022" s="106"/>
      <c r="H1022" s="105"/>
    </row>
    <row r="1023">
      <c r="A1023" s="104"/>
      <c r="B1023" s="104"/>
      <c r="C1023" s="105"/>
      <c r="D1023" s="105"/>
      <c r="E1023" s="105"/>
      <c r="F1023" s="105"/>
      <c r="G1023" s="106"/>
      <c r="H1023" s="105"/>
    </row>
    <row r="1024">
      <c r="A1024" s="104"/>
      <c r="B1024" s="104"/>
      <c r="C1024" s="105"/>
      <c r="D1024" s="105"/>
      <c r="E1024" s="105"/>
      <c r="F1024" s="105"/>
      <c r="G1024" s="106"/>
      <c r="H1024" s="105"/>
    </row>
    <row r="1025">
      <c r="A1025" s="104"/>
      <c r="B1025" s="104"/>
      <c r="C1025" s="105"/>
      <c r="D1025" s="105"/>
      <c r="E1025" s="105"/>
      <c r="F1025" s="105"/>
      <c r="G1025" s="106"/>
      <c r="H1025" s="105"/>
    </row>
    <row r="1026">
      <c r="A1026" s="104"/>
      <c r="B1026" s="104"/>
      <c r="C1026" s="105"/>
      <c r="D1026" s="105"/>
      <c r="E1026" s="105"/>
      <c r="F1026" s="105"/>
      <c r="G1026" s="106"/>
      <c r="H1026" s="105"/>
    </row>
    <row r="1027">
      <c r="A1027" s="104"/>
      <c r="B1027" s="104"/>
      <c r="C1027" s="105"/>
      <c r="D1027" s="105"/>
      <c r="E1027" s="105"/>
      <c r="F1027" s="105"/>
      <c r="G1027" s="106"/>
      <c r="H1027" s="105"/>
    </row>
    <row r="1028">
      <c r="A1028" s="104"/>
      <c r="B1028" s="104"/>
      <c r="C1028" s="105"/>
      <c r="D1028" s="105"/>
      <c r="E1028" s="105"/>
      <c r="F1028" s="105"/>
      <c r="G1028" s="106"/>
      <c r="H1028" s="105"/>
    </row>
    <row r="1029">
      <c r="A1029" s="104"/>
      <c r="B1029" s="104"/>
      <c r="C1029" s="105"/>
      <c r="D1029" s="105"/>
      <c r="E1029" s="105"/>
      <c r="F1029" s="105"/>
      <c r="G1029" s="106"/>
      <c r="H1029" s="105"/>
    </row>
    <row r="1030">
      <c r="A1030" s="104"/>
      <c r="B1030" s="104"/>
      <c r="C1030" s="105"/>
      <c r="D1030" s="105"/>
      <c r="E1030" s="105"/>
      <c r="F1030" s="105"/>
      <c r="G1030" s="106"/>
      <c r="H1030" s="105"/>
    </row>
    <row r="1031">
      <c r="A1031" s="104"/>
      <c r="B1031" s="104"/>
      <c r="C1031" s="105"/>
      <c r="D1031" s="105"/>
      <c r="E1031" s="105"/>
      <c r="F1031" s="105"/>
      <c r="G1031" s="106"/>
      <c r="H1031" s="105"/>
    </row>
    <row r="1032">
      <c r="A1032" s="104"/>
      <c r="B1032" s="104"/>
      <c r="C1032" s="105"/>
      <c r="D1032" s="105"/>
      <c r="E1032" s="105"/>
      <c r="F1032" s="105"/>
      <c r="G1032" s="106"/>
      <c r="H1032" s="105"/>
    </row>
    <row r="1033">
      <c r="A1033" s="104"/>
      <c r="B1033" s="104"/>
      <c r="C1033" s="105"/>
      <c r="D1033" s="105"/>
      <c r="E1033" s="105"/>
      <c r="F1033" s="105"/>
      <c r="G1033" s="106"/>
      <c r="H1033" s="105"/>
    </row>
    <row r="1034">
      <c r="A1034" s="104"/>
      <c r="B1034" s="104"/>
      <c r="C1034" s="105"/>
      <c r="D1034" s="105"/>
      <c r="E1034" s="105"/>
      <c r="F1034" s="105"/>
      <c r="G1034" s="106"/>
      <c r="H1034" s="105"/>
    </row>
    <row r="1035">
      <c r="A1035" s="104"/>
      <c r="B1035" s="104"/>
      <c r="C1035" s="105"/>
      <c r="D1035" s="105"/>
      <c r="E1035" s="105"/>
      <c r="F1035" s="105"/>
      <c r="G1035" s="106"/>
      <c r="H1035" s="105"/>
    </row>
    <row r="1036">
      <c r="A1036" s="104"/>
      <c r="B1036" s="104"/>
      <c r="C1036" s="105"/>
      <c r="D1036" s="105"/>
      <c r="E1036" s="105"/>
      <c r="F1036" s="105"/>
      <c r="G1036" s="106"/>
      <c r="H1036" s="105"/>
    </row>
    <row r="1037">
      <c r="A1037" s="104"/>
      <c r="B1037" s="104"/>
      <c r="C1037" s="105"/>
      <c r="D1037" s="105"/>
      <c r="E1037" s="105"/>
      <c r="F1037" s="105"/>
      <c r="G1037" s="106"/>
      <c r="H1037" s="105"/>
    </row>
    <row r="1038">
      <c r="A1038" s="104"/>
      <c r="B1038" s="104"/>
      <c r="C1038" s="105"/>
      <c r="D1038" s="105"/>
      <c r="E1038" s="105"/>
      <c r="F1038" s="105"/>
      <c r="G1038" s="106"/>
      <c r="H1038" s="105"/>
    </row>
    <row r="1039">
      <c r="A1039" s="104"/>
      <c r="B1039" s="104"/>
      <c r="C1039" s="105"/>
      <c r="D1039" s="105"/>
      <c r="E1039" s="105"/>
      <c r="F1039" s="105"/>
      <c r="G1039" s="106"/>
      <c r="H1039" s="105"/>
    </row>
    <row r="1040">
      <c r="A1040" s="104"/>
      <c r="B1040" s="104"/>
      <c r="C1040" s="105"/>
      <c r="D1040" s="105"/>
      <c r="E1040" s="105"/>
      <c r="F1040" s="105"/>
      <c r="G1040" s="106"/>
      <c r="H1040" s="105"/>
    </row>
    <row r="1041">
      <c r="A1041" s="104"/>
      <c r="B1041" s="104"/>
      <c r="C1041" s="105"/>
      <c r="D1041" s="105"/>
      <c r="E1041" s="105"/>
      <c r="F1041" s="105"/>
      <c r="G1041" s="106"/>
      <c r="H1041" s="105"/>
    </row>
    <row r="1042">
      <c r="A1042" s="104"/>
      <c r="B1042" s="104"/>
      <c r="C1042" s="105"/>
      <c r="D1042" s="105"/>
      <c r="E1042" s="105"/>
      <c r="F1042" s="105"/>
      <c r="G1042" s="106"/>
      <c r="H1042" s="105"/>
    </row>
    <row r="1043">
      <c r="A1043" s="104"/>
      <c r="B1043" s="104"/>
      <c r="C1043" s="105"/>
      <c r="D1043" s="105"/>
      <c r="E1043" s="105"/>
      <c r="F1043" s="105"/>
      <c r="G1043" s="106"/>
      <c r="H1043" s="105"/>
    </row>
    <row r="1044">
      <c r="A1044" s="104"/>
      <c r="B1044" s="104"/>
      <c r="C1044" s="105"/>
      <c r="D1044" s="105"/>
      <c r="E1044" s="105"/>
      <c r="F1044" s="105"/>
      <c r="G1044" s="106"/>
      <c r="H1044" s="105"/>
    </row>
    <row r="1045">
      <c r="A1045" s="104"/>
      <c r="B1045" s="104"/>
      <c r="C1045" s="105"/>
      <c r="D1045" s="105"/>
      <c r="E1045" s="105"/>
      <c r="F1045" s="105"/>
      <c r="G1045" s="106"/>
      <c r="H1045" s="105"/>
    </row>
    <row r="1046">
      <c r="A1046" s="104"/>
      <c r="B1046" s="104"/>
      <c r="C1046" s="105"/>
      <c r="D1046" s="105"/>
      <c r="E1046" s="105"/>
      <c r="F1046" s="105"/>
      <c r="G1046" s="106"/>
      <c r="H1046" s="105"/>
    </row>
    <row r="1047">
      <c r="A1047" s="104"/>
      <c r="B1047" s="104"/>
      <c r="C1047" s="105"/>
      <c r="D1047" s="105"/>
      <c r="E1047" s="105"/>
      <c r="F1047" s="105"/>
      <c r="G1047" s="106"/>
      <c r="H1047" s="105"/>
    </row>
    <row r="1048">
      <c r="A1048" s="104"/>
      <c r="B1048" s="104"/>
      <c r="C1048" s="105"/>
      <c r="D1048" s="105"/>
      <c r="E1048" s="105"/>
      <c r="F1048" s="105"/>
      <c r="G1048" s="106"/>
      <c r="H1048" s="105"/>
    </row>
    <row r="1049">
      <c r="A1049" s="104"/>
      <c r="B1049" s="104"/>
      <c r="C1049" s="105"/>
      <c r="D1049" s="105"/>
      <c r="E1049" s="105"/>
      <c r="F1049" s="105"/>
      <c r="G1049" s="106"/>
      <c r="H1049" s="105"/>
    </row>
    <row r="1050">
      <c r="A1050" s="104"/>
      <c r="B1050" s="104"/>
      <c r="C1050" s="105"/>
      <c r="D1050" s="105"/>
      <c r="E1050" s="105"/>
      <c r="F1050" s="105"/>
      <c r="G1050" s="106"/>
      <c r="H1050" s="105"/>
    </row>
    <row r="1051">
      <c r="A1051" s="104"/>
      <c r="B1051" s="104"/>
      <c r="C1051" s="105"/>
      <c r="D1051" s="105"/>
      <c r="E1051" s="105"/>
      <c r="F1051" s="105"/>
      <c r="G1051" s="106"/>
      <c r="H1051" s="105"/>
    </row>
    <row r="1052">
      <c r="A1052" s="104"/>
      <c r="B1052" s="104"/>
      <c r="C1052" s="105"/>
      <c r="D1052" s="105"/>
      <c r="E1052" s="105"/>
      <c r="F1052" s="105"/>
      <c r="G1052" s="106"/>
      <c r="H1052" s="105"/>
    </row>
    <row r="1053">
      <c r="A1053" s="104"/>
      <c r="B1053" s="104"/>
      <c r="C1053" s="105"/>
      <c r="D1053" s="105"/>
      <c r="E1053" s="105"/>
      <c r="F1053" s="105"/>
      <c r="G1053" s="106"/>
      <c r="H1053" s="105"/>
    </row>
    <row r="1054">
      <c r="A1054" s="104"/>
      <c r="B1054" s="104"/>
      <c r="C1054" s="105"/>
      <c r="D1054" s="105"/>
      <c r="E1054" s="105"/>
      <c r="F1054" s="105"/>
      <c r="G1054" s="106"/>
      <c r="H1054" s="105"/>
    </row>
    <row r="1055">
      <c r="A1055" s="104"/>
      <c r="B1055" s="104"/>
      <c r="C1055" s="105"/>
      <c r="D1055" s="105"/>
      <c r="E1055" s="105"/>
      <c r="F1055" s="105"/>
      <c r="G1055" s="106"/>
      <c r="H1055" s="105"/>
    </row>
    <row r="1056">
      <c r="A1056" s="104"/>
      <c r="B1056" s="104"/>
      <c r="C1056" s="105"/>
      <c r="D1056" s="105"/>
      <c r="E1056" s="105"/>
      <c r="F1056" s="105"/>
      <c r="G1056" s="106"/>
      <c r="H1056" s="105"/>
    </row>
    <row r="1057">
      <c r="A1057" s="104"/>
      <c r="B1057" s="104"/>
      <c r="C1057" s="105"/>
      <c r="D1057" s="105"/>
      <c r="E1057" s="105"/>
      <c r="F1057" s="105"/>
      <c r="G1057" s="106"/>
      <c r="H1057" s="105"/>
    </row>
    <row r="1058">
      <c r="A1058" s="104"/>
      <c r="B1058" s="104"/>
      <c r="C1058" s="105"/>
      <c r="D1058" s="105"/>
      <c r="E1058" s="105"/>
      <c r="F1058" s="105"/>
      <c r="G1058" s="106"/>
      <c r="H1058" s="105"/>
    </row>
    <row r="1059">
      <c r="A1059" s="104"/>
      <c r="B1059" s="104"/>
      <c r="C1059" s="105"/>
      <c r="D1059" s="105"/>
      <c r="E1059" s="105"/>
      <c r="F1059" s="105"/>
      <c r="G1059" s="106"/>
      <c r="H1059" s="105"/>
    </row>
    <row r="1060">
      <c r="A1060" s="104"/>
      <c r="B1060" s="104"/>
      <c r="C1060" s="105"/>
      <c r="D1060" s="105"/>
      <c r="E1060" s="105"/>
      <c r="F1060" s="105"/>
      <c r="G1060" s="106"/>
      <c r="H1060" s="105"/>
    </row>
    <row r="1061">
      <c r="A1061" s="104"/>
      <c r="B1061" s="104"/>
      <c r="C1061" s="105"/>
      <c r="D1061" s="105"/>
      <c r="E1061" s="105"/>
      <c r="F1061" s="105"/>
      <c r="G1061" s="106"/>
      <c r="H1061" s="105"/>
    </row>
    <row r="1062">
      <c r="A1062" s="104"/>
      <c r="B1062" s="104"/>
      <c r="C1062" s="105"/>
      <c r="D1062" s="105"/>
      <c r="E1062" s="105"/>
      <c r="F1062" s="105"/>
      <c r="G1062" s="106"/>
      <c r="H1062" s="105"/>
    </row>
    <row r="1063">
      <c r="A1063" s="104"/>
      <c r="B1063" s="104"/>
      <c r="C1063" s="105"/>
      <c r="D1063" s="105"/>
      <c r="E1063" s="105"/>
      <c r="F1063" s="105"/>
      <c r="G1063" s="106"/>
      <c r="H1063" s="105"/>
    </row>
    <row r="1064">
      <c r="A1064" s="104"/>
      <c r="B1064" s="104"/>
      <c r="C1064" s="105"/>
      <c r="D1064" s="105"/>
      <c r="E1064" s="105"/>
      <c r="F1064" s="105"/>
      <c r="G1064" s="106"/>
      <c r="H1064" s="105"/>
    </row>
    <row r="1065">
      <c r="A1065" s="104"/>
      <c r="B1065" s="104"/>
      <c r="C1065" s="105"/>
      <c r="D1065" s="105"/>
      <c r="E1065" s="105"/>
      <c r="F1065" s="105"/>
      <c r="G1065" s="106"/>
      <c r="H1065" s="105"/>
    </row>
    <row r="1066">
      <c r="A1066" s="104"/>
      <c r="B1066" s="104"/>
      <c r="C1066" s="105"/>
      <c r="D1066" s="105"/>
      <c r="E1066" s="105"/>
      <c r="F1066" s="105"/>
      <c r="G1066" s="106"/>
      <c r="H1066" s="105"/>
    </row>
    <row r="1067">
      <c r="A1067" s="104"/>
      <c r="B1067" s="104"/>
      <c r="C1067" s="105"/>
      <c r="D1067" s="105"/>
      <c r="E1067" s="105"/>
      <c r="F1067" s="105"/>
      <c r="G1067" s="106"/>
      <c r="H1067" s="105"/>
    </row>
    <row r="1068">
      <c r="A1068" s="104"/>
      <c r="B1068" s="104"/>
      <c r="C1068" s="105"/>
      <c r="D1068" s="105"/>
      <c r="E1068" s="105"/>
      <c r="F1068" s="105"/>
      <c r="G1068" s="106"/>
      <c r="H1068" s="105"/>
    </row>
    <row r="1069">
      <c r="A1069" s="104"/>
      <c r="B1069" s="104"/>
      <c r="C1069" s="105"/>
      <c r="D1069" s="105"/>
      <c r="E1069" s="105"/>
      <c r="F1069" s="105"/>
      <c r="G1069" s="106"/>
      <c r="H1069" s="105"/>
    </row>
    <row r="1070">
      <c r="A1070" s="104"/>
      <c r="B1070" s="104"/>
      <c r="C1070" s="105"/>
      <c r="D1070" s="105"/>
      <c r="E1070" s="105"/>
      <c r="F1070" s="105"/>
      <c r="G1070" s="106"/>
      <c r="H1070" s="105"/>
    </row>
    <row r="1071">
      <c r="A1071" s="104"/>
      <c r="B1071" s="104"/>
      <c r="C1071" s="105"/>
      <c r="D1071" s="105"/>
      <c r="E1071" s="105"/>
      <c r="F1071" s="105"/>
      <c r="G1071" s="106"/>
      <c r="H1071" s="105"/>
    </row>
    <row r="1072">
      <c r="A1072" s="104"/>
      <c r="B1072" s="104"/>
      <c r="C1072" s="105"/>
      <c r="D1072" s="105"/>
      <c r="E1072" s="105"/>
      <c r="F1072" s="105"/>
      <c r="G1072" s="106"/>
      <c r="H1072" s="105"/>
    </row>
    <row r="1073">
      <c r="A1073" s="104"/>
      <c r="B1073" s="104"/>
      <c r="C1073" s="105"/>
      <c r="D1073" s="105"/>
      <c r="E1073" s="105"/>
      <c r="F1073" s="105"/>
      <c r="G1073" s="106"/>
      <c r="H1073" s="105"/>
    </row>
    <row r="1074">
      <c r="A1074" s="104"/>
      <c r="B1074" s="104"/>
      <c r="C1074" s="105"/>
      <c r="D1074" s="105"/>
      <c r="E1074" s="105"/>
      <c r="F1074" s="105"/>
      <c r="G1074" s="106"/>
      <c r="H1074" s="105"/>
    </row>
    <row r="1075">
      <c r="A1075" s="104"/>
      <c r="B1075" s="104"/>
      <c r="C1075" s="105"/>
      <c r="D1075" s="105"/>
      <c r="E1075" s="105"/>
      <c r="F1075" s="105"/>
      <c r="G1075" s="106"/>
      <c r="H1075" s="105"/>
    </row>
    <row r="1076">
      <c r="A1076" s="104"/>
      <c r="B1076" s="104"/>
      <c r="C1076" s="105"/>
      <c r="D1076" s="105"/>
      <c r="E1076" s="105"/>
      <c r="F1076" s="105"/>
      <c r="G1076" s="106"/>
      <c r="H1076" s="105"/>
    </row>
    <row r="1077">
      <c r="A1077" s="104"/>
      <c r="B1077" s="104"/>
      <c r="C1077" s="105"/>
      <c r="D1077" s="105"/>
      <c r="E1077" s="105"/>
      <c r="F1077" s="105"/>
      <c r="G1077" s="106"/>
      <c r="H1077" s="105"/>
    </row>
    <row r="1078">
      <c r="A1078" s="104"/>
      <c r="B1078" s="104"/>
      <c r="C1078" s="105"/>
      <c r="D1078" s="105"/>
      <c r="E1078" s="105"/>
      <c r="F1078" s="105"/>
      <c r="G1078" s="106"/>
      <c r="H1078" s="105"/>
    </row>
    <row r="1079">
      <c r="A1079" s="104"/>
      <c r="B1079" s="104"/>
      <c r="C1079" s="105"/>
      <c r="D1079" s="105"/>
      <c r="E1079" s="105"/>
      <c r="F1079" s="105"/>
      <c r="G1079" s="106"/>
      <c r="H1079" s="105"/>
    </row>
    <row r="1080">
      <c r="A1080" s="104"/>
      <c r="B1080" s="104"/>
      <c r="C1080" s="105"/>
      <c r="D1080" s="105"/>
      <c r="E1080" s="105"/>
      <c r="F1080" s="105"/>
      <c r="G1080" s="106"/>
      <c r="H1080" s="105"/>
    </row>
    <row r="1081">
      <c r="A1081" s="104"/>
      <c r="B1081" s="104"/>
      <c r="C1081" s="105"/>
      <c r="D1081" s="105"/>
      <c r="E1081" s="105"/>
      <c r="F1081" s="105"/>
      <c r="G1081" s="106"/>
      <c r="H1081" s="105"/>
    </row>
    <row r="1082">
      <c r="A1082" s="104"/>
      <c r="B1082" s="104"/>
      <c r="C1082" s="105"/>
      <c r="D1082" s="105"/>
      <c r="E1082" s="105"/>
      <c r="F1082" s="105"/>
      <c r="G1082" s="106"/>
      <c r="H1082" s="105"/>
    </row>
    <row r="1083">
      <c r="A1083" s="104"/>
      <c r="B1083" s="104"/>
      <c r="C1083" s="105"/>
      <c r="D1083" s="105"/>
      <c r="E1083" s="105"/>
      <c r="F1083" s="105"/>
      <c r="G1083" s="106"/>
      <c r="H1083" s="105"/>
    </row>
    <row r="1084">
      <c r="A1084" s="104"/>
      <c r="B1084" s="104"/>
      <c r="C1084" s="105"/>
      <c r="D1084" s="105"/>
      <c r="E1084" s="105"/>
      <c r="F1084" s="105"/>
      <c r="G1084" s="106"/>
      <c r="H1084" s="105"/>
    </row>
    <row r="1085">
      <c r="A1085" s="104"/>
      <c r="B1085" s="104"/>
      <c r="C1085" s="105"/>
      <c r="D1085" s="105"/>
      <c r="E1085" s="105"/>
      <c r="F1085" s="105"/>
      <c r="G1085" s="106"/>
      <c r="H1085" s="105"/>
    </row>
    <row r="1086">
      <c r="A1086" s="104"/>
      <c r="B1086" s="104"/>
      <c r="C1086" s="105"/>
      <c r="D1086" s="105"/>
      <c r="E1086" s="105"/>
      <c r="F1086" s="105"/>
      <c r="G1086" s="106"/>
      <c r="H1086" s="105"/>
    </row>
    <row r="1087">
      <c r="A1087" s="104"/>
      <c r="B1087" s="104"/>
      <c r="C1087" s="105"/>
      <c r="D1087" s="105"/>
      <c r="E1087" s="105"/>
      <c r="F1087" s="105"/>
      <c r="G1087" s="106"/>
      <c r="H1087" s="105"/>
    </row>
    <row r="1088">
      <c r="A1088" s="104"/>
      <c r="B1088" s="104"/>
      <c r="C1088" s="105"/>
      <c r="D1088" s="105"/>
      <c r="E1088" s="105"/>
      <c r="F1088" s="105"/>
      <c r="G1088" s="106"/>
      <c r="H1088" s="105"/>
    </row>
    <row r="1089">
      <c r="A1089" s="104"/>
      <c r="B1089" s="104"/>
      <c r="C1089" s="105"/>
      <c r="D1089" s="105"/>
      <c r="E1089" s="105"/>
      <c r="F1089" s="105"/>
      <c r="G1089" s="106"/>
      <c r="H1089" s="105"/>
    </row>
    <row r="1090">
      <c r="A1090" s="104"/>
      <c r="B1090" s="104"/>
      <c r="C1090" s="105"/>
      <c r="D1090" s="105"/>
      <c r="E1090" s="105"/>
      <c r="F1090" s="105"/>
      <c r="G1090" s="106"/>
      <c r="H1090" s="105"/>
    </row>
    <row r="1091">
      <c r="A1091" s="104"/>
      <c r="B1091" s="104"/>
      <c r="C1091" s="105"/>
      <c r="D1091" s="105"/>
      <c r="E1091" s="105"/>
      <c r="F1091" s="105"/>
      <c r="G1091" s="106"/>
      <c r="H1091" s="105"/>
    </row>
    <row r="1092">
      <c r="A1092" s="104"/>
      <c r="B1092" s="104"/>
      <c r="C1092" s="105"/>
      <c r="D1092" s="105"/>
      <c r="E1092" s="105"/>
      <c r="F1092" s="105"/>
      <c r="G1092" s="106"/>
      <c r="H1092" s="105"/>
    </row>
    <row r="1093">
      <c r="A1093" s="104"/>
      <c r="B1093" s="104"/>
      <c r="C1093" s="105"/>
      <c r="D1093" s="105"/>
      <c r="E1093" s="105"/>
      <c r="F1093" s="105"/>
      <c r="G1093" s="106"/>
      <c r="H1093" s="105"/>
    </row>
    <row r="1094">
      <c r="A1094" s="104"/>
      <c r="B1094" s="104"/>
      <c r="C1094" s="105"/>
      <c r="D1094" s="105"/>
      <c r="E1094" s="105"/>
      <c r="F1094" s="105"/>
      <c r="G1094" s="106"/>
      <c r="H1094" s="105"/>
    </row>
    <row r="1095">
      <c r="A1095" s="104"/>
      <c r="B1095" s="104"/>
      <c r="C1095" s="105"/>
      <c r="D1095" s="105"/>
      <c r="E1095" s="105"/>
      <c r="F1095" s="105"/>
      <c r="G1095" s="106"/>
      <c r="H1095" s="105"/>
    </row>
    <row r="1096">
      <c r="A1096" s="104"/>
      <c r="B1096" s="104"/>
      <c r="C1096" s="105"/>
      <c r="D1096" s="105"/>
      <c r="E1096" s="105"/>
      <c r="F1096" s="105"/>
      <c r="G1096" s="106"/>
      <c r="H1096" s="105"/>
    </row>
    <row r="1097">
      <c r="A1097" s="104"/>
      <c r="B1097" s="104"/>
      <c r="C1097" s="105"/>
      <c r="D1097" s="105"/>
      <c r="E1097" s="105"/>
      <c r="F1097" s="105"/>
      <c r="G1097" s="106"/>
      <c r="H1097" s="105"/>
    </row>
    <row r="1098">
      <c r="A1098" s="104"/>
      <c r="B1098" s="104"/>
      <c r="C1098" s="105"/>
      <c r="D1098" s="105"/>
      <c r="E1098" s="105"/>
      <c r="F1098" s="105"/>
      <c r="G1098" s="106"/>
      <c r="H1098" s="105"/>
    </row>
    <row r="1099">
      <c r="A1099" s="104"/>
      <c r="B1099" s="104"/>
      <c r="C1099" s="105"/>
      <c r="D1099" s="105"/>
      <c r="E1099" s="105"/>
      <c r="F1099" s="105"/>
      <c r="G1099" s="106"/>
      <c r="H1099" s="105"/>
    </row>
    <row r="1100">
      <c r="A1100" s="104"/>
      <c r="B1100" s="104"/>
      <c r="C1100" s="105"/>
      <c r="D1100" s="105"/>
      <c r="E1100" s="105"/>
      <c r="F1100" s="105"/>
      <c r="G1100" s="106"/>
      <c r="H1100" s="105"/>
    </row>
    <row r="1101">
      <c r="A1101" s="104"/>
      <c r="B1101" s="104"/>
      <c r="C1101" s="105"/>
      <c r="D1101" s="105"/>
      <c r="E1101" s="105"/>
      <c r="F1101" s="105"/>
      <c r="G1101" s="106"/>
      <c r="H1101" s="105"/>
    </row>
    <row r="1102">
      <c r="A1102" s="104"/>
      <c r="B1102" s="104"/>
      <c r="C1102" s="105"/>
      <c r="D1102" s="105"/>
      <c r="E1102" s="105"/>
      <c r="F1102" s="105"/>
      <c r="G1102" s="106"/>
      <c r="H1102" s="105"/>
    </row>
    <row r="1103">
      <c r="A1103" s="104"/>
      <c r="B1103" s="104"/>
      <c r="C1103" s="105"/>
      <c r="D1103" s="105"/>
      <c r="E1103" s="105"/>
      <c r="F1103" s="105"/>
      <c r="G1103" s="106"/>
      <c r="H1103" s="105"/>
    </row>
    <row r="1104">
      <c r="A1104" s="104"/>
      <c r="B1104" s="104"/>
      <c r="C1104" s="105"/>
      <c r="D1104" s="105"/>
      <c r="E1104" s="105"/>
      <c r="F1104" s="105"/>
      <c r="G1104" s="106"/>
      <c r="H1104" s="105"/>
    </row>
    <row r="1105">
      <c r="A1105" s="104"/>
      <c r="B1105" s="104"/>
      <c r="C1105" s="105"/>
      <c r="D1105" s="105"/>
      <c r="E1105" s="105"/>
      <c r="F1105" s="105"/>
      <c r="G1105" s="106"/>
      <c r="H1105" s="105"/>
    </row>
    <row r="1106">
      <c r="A1106" s="104"/>
      <c r="B1106" s="104"/>
      <c r="C1106" s="105"/>
      <c r="D1106" s="105"/>
      <c r="E1106" s="105"/>
      <c r="F1106" s="105"/>
      <c r="G1106" s="106"/>
      <c r="H1106" s="105"/>
    </row>
    <row r="1107">
      <c r="A1107" s="104"/>
      <c r="B1107" s="104"/>
      <c r="C1107" s="105"/>
      <c r="D1107" s="105"/>
      <c r="E1107" s="105"/>
      <c r="F1107" s="105"/>
      <c r="G1107" s="106"/>
      <c r="H1107" s="105"/>
    </row>
    <row r="1108">
      <c r="A1108" s="104"/>
      <c r="B1108" s="104"/>
      <c r="C1108" s="105"/>
      <c r="D1108" s="105"/>
      <c r="E1108" s="105"/>
      <c r="F1108" s="105"/>
      <c r="G1108" s="106"/>
      <c r="H1108" s="105"/>
    </row>
    <row r="1109">
      <c r="A1109" s="104"/>
      <c r="B1109" s="104"/>
      <c r="C1109" s="105"/>
      <c r="D1109" s="105"/>
      <c r="E1109" s="105"/>
      <c r="F1109" s="105"/>
      <c r="G1109" s="106"/>
      <c r="H1109" s="105"/>
    </row>
    <row r="1110">
      <c r="A1110" s="104"/>
      <c r="B1110" s="104"/>
      <c r="C1110" s="105"/>
      <c r="D1110" s="105"/>
      <c r="E1110" s="105"/>
      <c r="F1110" s="105"/>
      <c r="G1110" s="106"/>
      <c r="H1110" s="105"/>
    </row>
    <row r="1111">
      <c r="A1111" s="104"/>
      <c r="B1111" s="104"/>
      <c r="C1111" s="105"/>
      <c r="D1111" s="105"/>
      <c r="E1111" s="105"/>
      <c r="F1111" s="105"/>
      <c r="G1111" s="106"/>
      <c r="H1111" s="105"/>
    </row>
    <row r="1112">
      <c r="A1112" s="104"/>
      <c r="B1112" s="104"/>
      <c r="C1112" s="105"/>
      <c r="D1112" s="105"/>
      <c r="E1112" s="105"/>
      <c r="F1112" s="105"/>
      <c r="G1112" s="106"/>
      <c r="H1112" s="105"/>
    </row>
    <row r="1113">
      <c r="A1113" s="104"/>
      <c r="B1113" s="104"/>
      <c r="C1113" s="105"/>
      <c r="D1113" s="105"/>
      <c r="E1113" s="105"/>
      <c r="F1113" s="105"/>
      <c r="G1113" s="106"/>
      <c r="H1113" s="105"/>
    </row>
    <row r="1114">
      <c r="A1114" s="104"/>
      <c r="B1114" s="104"/>
      <c r="C1114" s="105"/>
      <c r="D1114" s="105"/>
      <c r="E1114" s="105"/>
      <c r="F1114" s="105"/>
      <c r="G1114" s="106"/>
      <c r="H1114" s="105"/>
    </row>
    <row r="1115">
      <c r="A1115" s="104"/>
      <c r="B1115" s="104"/>
      <c r="C1115" s="105"/>
      <c r="D1115" s="105"/>
      <c r="E1115" s="105"/>
      <c r="F1115" s="105"/>
      <c r="G1115" s="106"/>
      <c r="H1115" s="105"/>
    </row>
    <row r="1116">
      <c r="A1116" s="104"/>
      <c r="B1116" s="104"/>
      <c r="C1116" s="105"/>
      <c r="D1116" s="105"/>
      <c r="E1116" s="105"/>
      <c r="F1116" s="105"/>
      <c r="G1116" s="106"/>
      <c r="H1116" s="105"/>
    </row>
    <row r="1117">
      <c r="A1117" s="104"/>
      <c r="B1117" s="104"/>
      <c r="C1117" s="105"/>
      <c r="D1117" s="105"/>
      <c r="E1117" s="105"/>
      <c r="F1117" s="105"/>
      <c r="G1117" s="106"/>
      <c r="H1117" s="105"/>
    </row>
    <row r="1118">
      <c r="A1118" s="104"/>
      <c r="B1118" s="104"/>
      <c r="C1118" s="105"/>
      <c r="D1118" s="105"/>
      <c r="E1118" s="105"/>
      <c r="F1118" s="105"/>
      <c r="G1118" s="106"/>
      <c r="H1118" s="105"/>
    </row>
    <row r="1119">
      <c r="A1119" s="104"/>
      <c r="B1119" s="104"/>
      <c r="C1119" s="105"/>
      <c r="D1119" s="105"/>
      <c r="E1119" s="105"/>
      <c r="F1119" s="105"/>
      <c r="G1119" s="106"/>
      <c r="H1119" s="105"/>
    </row>
    <row r="1120">
      <c r="A1120" s="104"/>
      <c r="B1120" s="104"/>
      <c r="C1120" s="105"/>
      <c r="D1120" s="105"/>
      <c r="E1120" s="105"/>
      <c r="F1120" s="105"/>
      <c r="G1120" s="106"/>
      <c r="H1120" s="105"/>
    </row>
    <row r="1121">
      <c r="A1121" s="104"/>
      <c r="B1121" s="104"/>
      <c r="C1121" s="105"/>
      <c r="D1121" s="105"/>
      <c r="E1121" s="105"/>
      <c r="F1121" s="105"/>
      <c r="G1121" s="106"/>
      <c r="H1121" s="105"/>
    </row>
    <row r="1122">
      <c r="A1122" s="104"/>
      <c r="B1122" s="104"/>
      <c r="C1122" s="105"/>
      <c r="D1122" s="105"/>
      <c r="E1122" s="105"/>
      <c r="F1122" s="105"/>
      <c r="G1122" s="106"/>
      <c r="H1122" s="105"/>
    </row>
    <row r="1123">
      <c r="A1123" s="104"/>
      <c r="B1123" s="104"/>
      <c r="C1123" s="105"/>
      <c r="D1123" s="105"/>
      <c r="E1123" s="105"/>
      <c r="F1123" s="105"/>
      <c r="G1123" s="106"/>
      <c r="H1123" s="105"/>
    </row>
    <row r="1124">
      <c r="A1124" s="104"/>
      <c r="B1124" s="104"/>
      <c r="C1124" s="105"/>
      <c r="D1124" s="105"/>
      <c r="E1124" s="105"/>
      <c r="F1124" s="105"/>
      <c r="G1124" s="106"/>
      <c r="H1124" s="105"/>
    </row>
    <row r="1125">
      <c r="A1125" s="104"/>
      <c r="B1125" s="104"/>
      <c r="C1125" s="105"/>
      <c r="D1125" s="105"/>
      <c r="E1125" s="105"/>
      <c r="F1125" s="105"/>
      <c r="G1125" s="106"/>
      <c r="H1125" s="105"/>
    </row>
    <row r="1126">
      <c r="A1126" s="104"/>
      <c r="B1126" s="104"/>
      <c r="C1126" s="105"/>
      <c r="D1126" s="105"/>
      <c r="E1126" s="105"/>
      <c r="F1126" s="105"/>
      <c r="G1126" s="106"/>
      <c r="H1126" s="105"/>
    </row>
    <row r="1127">
      <c r="A1127" s="104"/>
      <c r="B1127" s="104"/>
      <c r="C1127" s="105"/>
      <c r="D1127" s="105"/>
      <c r="E1127" s="105"/>
      <c r="F1127" s="105"/>
      <c r="G1127" s="106"/>
      <c r="H1127" s="105"/>
    </row>
    <row r="1128">
      <c r="A1128" s="104"/>
      <c r="B1128" s="104"/>
      <c r="C1128" s="105"/>
      <c r="D1128" s="105"/>
      <c r="E1128" s="105"/>
      <c r="F1128" s="105"/>
      <c r="G1128" s="106"/>
      <c r="H1128" s="105"/>
    </row>
    <row r="1129">
      <c r="A1129" s="104"/>
      <c r="B1129" s="104"/>
      <c r="C1129" s="105"/>
      <c r="D1129" s="105"/>
      <c r="E1129" s="105"/>
      <c r="F1129" s="105"/>
      <c r="G1129" s="106"/>
      <c r="H1129" s="105"/>
    </row>
    <row r="1130">
      <c r="A1130" s="104"/>
      <c r="B1130" s="104"/>
      <c r="C1130" s="105"/>
      <c r="D1130" s="105"/>
      <c r="E1130" s="105"/>
      <c r="F1130" s="105"/>
      <c r="G1130" s="106"/>
      <c r="H1130" s="105"/>
    </row>
    <row r="1131">
      <c r="A1131" s="104"/>
      <c r="B1131" s="104"/>
      <c r="C1131" s="105"/>
      <c r="D1131" s="105"/>
      <c r="E1131" s="105"/>
      <c r="F1131" s="105"/>
      <c r="G1131" s="106"/>
      <c r="H1131" s="105"/>
    </row>
    <row r="1132">
      <c r="A1132" s="104"/>
      <c r="B1132" s="104"/>
      <c r="C1132" s="105"/>
      <c r="D1132" s="105"/>
      <c r="E1132" s="105"/>
      <c r="F1132" s="105"/>
      <c r="G1132" s="106"/>
      <c r="H1132" s="105"/>
    </row>
    <row r="1133">
      <c r="A1133" s="104"/>
      <c r="B1133" s="104"/>
      <c r="C1133" s="105"/>
      <c r="D1133" s="105"/>
      <c r="E1133" s="105"/>
      <c r="F1133" s="105"/>
      <c r="G1133" s="106"/>
      <c r="H1133" s="105"/>
    </row>
    <row r="1134">
      <c r="A1134" s="104"/>
      <c r="B1134" s="104"/>
      <c r="C1134" s="105"/>
      <c r="D1134" s="105"/>
      <c r="E1134" s="105"/>
      <c r="F1134" s="105"/>
      <c r="G1134" s="106"/>
      <c r="H1134" s="105"/>
    </row>
    <row r="1135">
      <c r="A1135" s="104"/>
      <c r="B1135" s="104"/>
      <c r="C1135" s="105"/>
      <c r="D1135" s="105"/>
      <c r="E1135" s="105"/>
      <c r="F1135" s="105"/>
      <c r="G1135" s="106"/>
      <c r="H1135" s="105"/>
    </row>
    <row r="1136">
      <c r="A1136" s="104"/>
      <c r="B1136" s="104"/>
      <c r="C1136" s="105"/>
      <c r="D1136" s="105"/>
      <c r="E1136" s="105"/>
      <c r="F1136" s="105"/>
      <c r="G1136" s="106"/>
      <c r="H1136" s="105"/>
    </row>
    <row r="1137">
      <c r="A1137" s="104"/>
      <c r="B1137" s="104"/>
      <c r="C1137" s="105"/>
      <c r="D1137" s="105"/>
      <c r="E1137" s="105"/>
      <c r="F1137" s="105"/>
      <c r="G1137" s="106"/>
      <c r="H1137" s="105"/>
    </row>
    <row r="1138">
      <c r="A1138" s="104"/>
      <c r="B1138" s="104"/>
      <c r="C1138" s="105"/>
      <c r="D1138" s="105"/>
      <c r="E1138" s="105"/>
      <c r="F1138" s="105"/>
      <c r="G1138" s="106"/>
      <c r="H1138" s="105"/>
    </row>
    <row r="1139">
      <c r="A1139" s="104"/>
      <c r="B1139" s="104"/>
      <c r="C1139" s="105"/>
      <c r="D1139" s="105"/>
      <c r="E1139" s="105"/>
      <c r="F1139" s="105"/>
      <c r="G1139" s="106"/>
      <c r="H1139" s="105"/>
    </row>
    <row r="1140">
      <c r="A1140" s="104"/>
      <c r="B1140" s="104"/>
      <c r="C1140" s="105"/>
      <c r="D1140" s="105"/>
      <c r="E1140" s="105"/>
      <c r="F1140" s="105"/>
      <c r="G1140" s="106"/>
      <c r="H1140" s="105"/>
    </row>
    <row r="1141">
      <c r="A1141" s="104"/>
      <c r="B1141" s="104"/>
      <c r="C1141" s="105"/>
      <c r="D1141" s="105"/>
      <c r="E1141" s="105"/>
      <c r="F1141" s="105"/>
      <c r="G1141" s="106"/>
      <c r="H1141" s="105"/>
    </row>
    <row r="1142">
      <c r="A1142" s="104"/>
      <c r="B1142" s="104"/>
      <c r="C1142" s="105"/>
      <c r="D1142" s="105"/>
      <c r="E1142" s="105"/>
      <c r="F1142" s="105"/>
      <c r="G1142" s="106"/>
      <c r="H1142" s="105"/>
    </row>
    <row r="1143">
      <c r="A1143" s="104"/>
      <c r="B1143" s="104"/>
      <c r="C1143" s="105"/>
      <c r="D1143" s="105"/>
      <c r="E1143" s="105"/>
      <c r="F1143" s="105"/>
      <c r="G1143" s="106"/>
      <c r="H1143" s="105"/>
    </row>
    <row r="1144">
      <c r="A1144" s="104"/>
      <c r="B1144" s="104"/>
      <c r="C1144" s="105"/>
      <c r="D1144" s="105"/>
      <c r="E1144" s="105"/>
      <c r="F1144" s="105"/>
      <c r="G1144" s="106"/>
      <c r="H1144" s="105"/>
    </row>
    <row r="1145">
      <c r="A1145" s="104"/>
      <c r="B1145" s="104"/>
      <c r="C1145" s="105"/>
      <c r="D1145" s="105"/>
      <c r="E1145" s="105"/>
      <c r="F1145" s="105"/>
      <c r="G1145" s="106"/>
      <c r="H1145" s="105"/>
    </row>
    <row r="1146">
      <c r="A1146" s="104"/>
      <c r="B1146" s="104"/>
      <c r="C1146" s="105"/>
      <c r="D1146" s="105"/>
      <c r="E1146" s="105"/>
      <c r="F1146" s="105"/>
      <c r="G1146" s="106"/>
      <c r="H1146" s="105"/>
    </row>
    <row r="1147">
      <c r="A1147" s="104"/>
      <c r="B1147" s="104"/>
      <c r="C1147" s="105"/>
      <c r="D1147" s="105"/>
      <c r="E1147" s="105"/>
      <c r="F1147" s="105"/>
      <c r="G1147" s="106"/>
      <c r="H1147" s="105"/>
    </row>
    <row r="1148">
      <c r="A1148" s="104"/>
      <c r="B1148" s="104"/>
      <c r="C1148" s="105"/>
      <c r="D1148" s="105"/>
      <c r="E1148" s="105"/>
      <c r="F1148" s="105"/>
      <c r="G1148" s="106"/>
      <c r="H1148" s="105"/>
    </row>
    <row r="1149">
      <c r="A1149" s="104"/>
      <c r="B1149" s="104"/>
      <c r="C1149" s="105"/>
      <c r="D1149" s="105"/>
      <c r="E1149" s="105"/>
      <c r="F1149" s="105"/>
      <c r="G1149" s="106"/>
      <c r="H1149" s="105"/>
    </row>
    <row r="1150">
      <c r="A1150" s="104"/>
      <c r="B1150" s="104"/>
      <c r="C1150" s="105"/>
      <c r="D1150" s="105"/>
      <c r="E1150" s="105"/>
      <c r="F1150" s="105"/>
      <c r="G1150" s="106"/>
      <c r="H1150" s="105"/>
    </row>
    <row r="1151">
      <c r="A1151" s="104"/>
      <c r="B1151" s="104"/>
      <c r="C1151" s="105"/>
      <c r="D1151" s="105"/>
      <c r="E1151" s="105"/>
      <c r="F1151" s="105"/>
      <c r="G1151" s="106"/>
      <c r="H1151" s="105"/>
    </row>
    <row r="1152">
      <c r="A1152" s="104"/>
      <c r="B1152" s="104"/>
      <c r="C1152" s="105"/>
      <c r="D1152" s="105"/>
      <c r="E1152" s="105"/>
      <c r="F1152" s="105"/>
      <c r="G1152" s="106"/>
      <c r="H1152" s="105"/>
    </row>
    <row r="1153">
      <c r="A1153" s="104"/>
      <c r="B1153" s="104"/>
      <c r="C1153" s="105"/>
      <c r="D1153" s="105"/>
      <c r="E1153" s="105"/>
      <c r="F1153" s="105"/>
      <c r="G1153" s="106"/>
      <c r="H1153" s="105"/>
    </row>
    <row r="1154">
      <c r="A1154" s="104"/>
      <c r="B1154" s="104"/>
      <c r="C1154" s="105"/>
      <c r="D1154" s="105"/>
      <c r="E1154" s="105"/>
      <c r="F1154" s="105"/>
      <c r="G1154" s="106"/>
      <c r="H1154" s="105"/>
    </row>
    <row r="1155">
      <c r="A1155" s="104"/>
      <c r="B1155" s="104"/>
      <c r="C1155" s="105"/>
      <c r="D1155" s="105"/>
      <c r="E1155" s="105"/>
      <c r="F1155" s="105"/>
      <c r="G1155" s="106"/>
      <c r="H1155" s="105"/>
    </row>
    <row r="1156">
      <c r="A1156" s="104"/>
      <c r="B1156" s="104"/>
      <c r="C1156" s="105"/>
      <c r="D1156" s="105"/>
      <c r="E1156" s="105"/>
      <c r="F1156" s="105"/>
      <c r="G1156" s="106"/>
      <c r="H1156" s="105"/>
    </row>
    <row r="1157">
      <c r="A1157" s="104"/>
      <c r="B1157" s="104"/>
      <c r="C1157" s="105"/>
      <c r="D1157" s="105"/>
      <c r="E1157" s="105"/>
      <c r="F1157" s="105"/>
      <c r="G1157" s="106"/>
      <c r="H1157" s="105"/>
    </row>
    <row r="1158">
      <c r="A1158" s="104"/>
      <c r="B1158" s="104"/>
      <c r="C1158" s="105"/>
      <c r="D1158" s="105"/>
      <c r="E1158" s="105"/>
      <c r="F1158" s="105"/>
      <c r="G1158" s="106"/>
      <c r="H1158" s="105"/>
    </row>
    <row r="1159">
      <c r="A1159" s="104"/>
      <c r="B1159" s="104"/>
      <c r="C1159" s="105"/>
      <c r="D1159" s="105"/>
      <c r="E1159" s="105"/>
      <c r="F1159" s="105"/>
      <c r="G1159" s="106"/>
      <c r="H1159" s="105"/>
    </row>
    <row r="1160">
      <c r="A1160" s="104"/>
      <c r="B1160" s="104"/>
      <c r="C1160" s="105"/>
      <c r="D1160" s="105"/>
      <c r="E1160" s="105"/>
      <c r="F1160" s="105"/>
      <c r="G1160" s="106"/>
      <c r="H1160" s="105"/>
    </row>
    <row r="1161">
      <c r="A1161" s="104"/>
      <c r="B1161" s="104"/>
      <c r="C1161" s="105"/>
      <c r="D1161" s="105"/>
      <c r="E1161" s="105"/>
      <c r="F1161" s="105"/>
      <c r="G1161" s="106"/>
      <c r="H1161" s="105"/>
    </row>
    <row r="1162">
      <c r="A1162" s="104"/>
      <c r="B1162" s="104"/>
      <c r="C1162" s="105"/>
      <c r="D1162" s="105"/>
      <c r="E1162" s="105"/>
      <c r="F1162" s="105"/>
      <c r="G1162" s="106"/>
      <c r="H1162" s="105"/>
    </row>
    <row r="1163">
      <c r="A1163" s="104"/>
      <c r="B1163" s="104"/>
      <c r="C1163" s="105"/>
      <c r="D1163" s="105"/>
      <c r="E1163" s="105"/>
      <c r="F1163" s="105"/>
      <c r="G1163" s="106"/>
      <c r="H1163" s="105"/>
    </row>
    <row r="1164">
      <c r="A1164" s="104"/>
      <c r="B1164" s="104"/>
      <c r="C1164" s="105"/>
      <c r="D1164" s="105"/>
      <c r="E1164" s="105"/>
      <c r="F1164" s="105"/>
      <c r="G1164" s="106"/>
      <c r="H1164" s="105"/>
    </row>
    <row r="1165">
      <c r="A1165" s="104"/>
      <c r="B1165" s="104"/>
      <c r="C1165" s="105"/>
      <c r="D1165" s="105"/>
      <c r="E1165" s="105"/>
      <c r="F1165" s="105"/>
      <c r="G1165" s="106"/>
      <c r="H1165" s="105"/>
    </row>
    <row r="1166">
      <c r="A1166" s="104"/>
      <c r="B1166" s="104"/>
      <c r="C1166" s="105"/>
      <c r="D1166" s="105"/>
      <c r="E1166" s="105"/>
      <c r="F1166" s="105"/>
      <c r="G1166" s="106"/>
      <c r="H1166" s="105"/>
    </row>
    <row r="1167">
      <c r="A1167" s="104"/>
      <c r="B1167" s="104"/>
      <c r="C1167" s="105"/>
      <c r="D1167" s="105"/>
      <c r="E1167" s="105"/>
      <c r="F1167" s="105"/>
      <c r="G1167" s="106"/>
      <c r="H1167" s="105"/>
    </row>
    <row r="1168">
      <c r="A1168" s="104"/>
      <c r="B1168" s="104"/>
      <c r="C1168" s="105"/>
      <c r="D1168" s="105"/>
      <c r="E1168" s="105"/>
      <c r="F1168" s="105"/>
      <c r="G1168" s="106"/>
      <c r="H1168" s="105"/>
    </row>
    <row r="1169">
      <c r="A1169" s="104"/>
      <c r="B1169" s="104"/>
      <c r="C1169" s="105"/>
      <c r="D1169" s="105"/>
      <c r="E1169" s="105"/>
      <c r="F1169" s="105"/>
      <c r="G1169" s="106"/>
      <c r="H1169" s="105"/>
    </row>
    <row r="1170">
      <c r="A1170" s="104"/>
      <c r="B1170" s="104"/>
      <c r="C1170" s="105"/>
      <c r="D1170" s="105"/>
      <c r="E1170" s="105"/>
      <c r="F1170" s="105"/>
      <c r="G1170" s="106"/>
      <c r="H1170" s="105"/>
    </row>
    <row r="1171">
      <c r="A1171" s="104"/>
      <c r="B1171" s="104"/>
      <c r="C1171" s="105"/>
      <c r="D1171" s="105"/>
      <c r="E1171" s="105"/>
      <c r="F1171" s="105"/>
      <c r="G1171" s="106"/>
      <c r="H1171" s="105"/>
    </row>
    <row r="1172">
      <c r="A1172" s="104"/>
      <c r="B1172" s="104"/>
      <c r="C1172" s="105"/>
      <c r="D1172" s="105"/>
      <c r="E1172" s="105"/>
      <c r="F1172" s="105"/>
      <c r="G1172" s="106"/>
      <c r="H1172" s="105"/>
    </row>
    <row r="1173">
      <c r="A1173" s="104"/>
      <c r="B1173" s="104"/>
      <c r="C1173" s="105"/>
      <c r="D1173" s="105"/>
      <c r="E1173" s="105"/>
      <c r="F1173" s="105"/>
      <c r="G1173" s="106"/>
      <c r="H1173" s="105"/>
    </row>
    <row r="1174">
      <c r="A1174" s="104"/>
      <c r="B1174" s="104"/>
      <c r="C1174" s="105"/>
      <c r="D1174" s="105"/>
      <c r="E1174" s="105"/>
      <c r="F1174" s="105"/>
      <c r="G1174" s="106"/>
      <c r="H1174" s="105"/>
    </row>
    <row r="1175">
      <c r="A1175" s="104"/>
      <c r="B1175" s="104"/>
      <c r="C1175" s="105"/>
      <c r="D1175" s="105"/>
      <c r="E1175" s="105"/>
      <c r="F1175" s="105"/>
      <c r="G1175" s="106"/>
      <c r="H1175" s="105"/>
    </row>
    <row r="1176">
      <c r="A1176" s="104"/>
      <c r="B1176" s="104"/>
      <c r="C1176" s="105"/>
      <c r="D1176" s="105"/>
      <c r="E1176" s="105"/>
      <c r="F1176" s="105"/>
      <c r="G1176" s="106"/>
      <c r="H1176" s="105"/>
    </row>
    <row r="1177">
      <c r="A1177" s="104"/>
      <c r="B1177" s="104"/>
      <c r="C1177" s="105"/>
      <c r="D1177" s="105"/>
      <c r="E1177" s="105"/>
      <c r="F1177" s="105"/>
      <c r="G1177" s="106"/>
      <c r="H1177" s="105"/>
    </row>
    <row r="1178">
      <c r="A1178" s="104"/>
      <c r="B1178" s="104"/>
      <c r="C1178" s="105"/>
      <c r="D1178" s="105"/>
      <c r="E1178" s="105"/>
      <c r="F1178" s="105"/>
      <c r="G1178" s="106"/>
      <c r="H1178" s="105"/>
    </row>
    <row r="1179">
      <c r="A1179" s="104"/>
      <c r="B1179" s="104"/>
      <c r="C1179" s="105"/>
      <c r="D1179" s="105"/>
      <c r="E1179" s="105"/>
      <c r="F1179" s="105"/>
      <c r="G1179" s="106"/>
      <c r="H1179" s="105"/>
    </row>
    <row r="1180">
      <c r="A1180" s="104"/>
      <c r="B1180" s="104"/>
      <c r="C1180" s="105"/>
      <c r="D1180" s="105"/>
      <c r="E1180" s="105"/>
      <c r="F1180" s="105"/>
      <c r="G1180" s="106"/>
      <c r="H1180" s="105"/>
    </row>
    <row r="1181">
      <c r="A1181" s="104"/>
      <c r="B1181" s="104"/>
      <c r="C1181" s="105"/>
      <c r="D1181" s="105"/>
      <c r="E1181" s="105"/>
      <c r="F1181" s="105"/>
      <c r="G1181" s="106"/>
      <c r="H1181" s="105"/>
    </row>
    <row r="1182">
      <c r="A1182" s="104"/>
      <c r="B1182" s="104"/>
      <c r="C1182" s="105"/>
      <c r="D1182" s="105"/>
      <c r="E1182" s="105"/>
      <c r="F1182" s="105"/>
      <c r="G1182" s="106"/>
      <c r="H1182" s="105"/>
    </row>
    <row r="1183">
      <c r="A1183" s="104"/>
      <c r="B1183" s="104"/>
      <c r="C1183" s="105"/>
      <c r="D1183" s="105"/>
      <c r="E1183" s="105"/>
      <c r="F1183" s="105"/>
      <c r="G1183" s="106"/>
      <c r="H1183" s="105"/>
    </row>
    <row r="1184">
      <c r="A1184" s="104"/>
      <c r="B1184" s="104"/>
      <c r="C1184" s="105"/>
      <c r="D1184" s="105"/>
      <c r="E1184" s="105"/>
      <c r="F1184" s="105"/>
      <c r="G1184" s="106"/>
      <c r="H1184" s="105"/>
    </row>
    <row r="1185">
      <c r="A1185" s="104"/>
      <c r="B1185" s="104"/>
      <c r="C1185" s="105"/>
      <c r="D1185" s="105"/>
      <c r="E1185" s="105"/>
      <c r="F1185" s="105"/>
      <c r="G1185" s="106"/>
      <c r="H1185" s="105"/>
    </row>
    <row r="1186">
      <c r="A1186" s="104"/>
      <c r="B1186" s="104"/>
      <c r="C1186" s="105"/>
      <c r="D1186" s="105"/>
      <c r="E1186" s="105"/>
      <c r="F1186" s="105"/>
      <c r="G1186" s="106"/>
      <c r="H1186" s="105"/>
    </row>
    <row r="1187">
      <c r="A1187" s="104"/>
      <c r="B1187" s="104"/>
      <c r="C1187" s="105"/>
      <c r="D1187" s="105"/>
      <c r="E1187" s="105"/>
      <c r="F1187" s="105"/>
      <c r="G1187" s="106"/>
      <c r="H1187" s="105"/>
    </row>
    <row r="1188">
      <c r="A1188" s="104"/>
      <c r="B1188" s="104"/>
      <c r="C1188" s="105"/>
      <c r="D1188" s="105"/>
      <c r="E1188" s="105"/>
      <c r="F1188" s="105"/>
      <c r="G1188" s="106"/>
      <c r="H1188" s="105"/>
    </row>
    <row r="1189">
      <c r="A1189" s="104"/>
      <c r="B1189" s="104"/>
      <c r="C1189" s="105"/>
      <c r="D1189" s="105"/>
      <c r="E1189" s="105"/>
      <c r="F1189" s="105"/>
      <c r="G1189" s="106"/>
      <c r="H1189" s="105"/>
    </row>
    <row r="1190">
      <c r="A1190" s="104"/>
      <c r="B1190" s="104"/>
      <c r="C1190" s="105"/>
      <c r="D1190" s="105"/>
      <c r="E1190" s="105"/>
      <c r="F1190" s="105"/>
      <c r="G1190" s="106"/>
      <c r="H1190" s="105"/>
    </row>
    <row r="1191">
      <c r="A1191" s="104"/>
      <c r="B1191" s="104"/>
      <c r="C1191" s="105"/>
      <c r="D1191" s="105"/>
      <c r="E1191" s="105"/>
      <c r="F1191" s="105"/>
      <c r="G1191" s="106"/>
      <c r="H1191" s="105"/>
    </row>
    <row r="1192">
      <c r="A1192" s="104"/>
      <c r="B1192" s="104"/>
      <c r="C1192" s="105"/>
      <c r="D1192" s="105"/>
      <c r="E1192" s="105"/>
      <c r="F1192" s="105"/>
      <c r="G1192" s="106"/>
      <c r="H1192" s="105"/>
    </row>
    <row r="1193">
      <c r="A1193" s="104"/>
      <c r="B1193" s="104"/>
      <c r="C1193" s="105"/>
      <c r="D1193" s="105"/>
      <c r="E1193" s="105"/>
      <c r="F1193" s="105"/>
      <c r="G1193" s="106"/>
      <c r="H1193" s="105"/>
    </row>
    <row r="1194">
      <c r="A1194" s="104"/>
      <c r="B1194" s="104"/>
      <c r="C1194" s="105"/>
      <c r="D1194" s="105"/>
      <c r="E1194" s="105"/>
      <c r="F1194" s="105"/>
      <c r="G1194" s="106"/>
      <c r="H1194" s="105"/>
    </row>
    <row r="1195">
      <c r="A1195" s="104"/>
      <c r="B1195" s="104"/>
      <c r="C1195" s="105"/>
      <c r="D1195" s="105"/>
      <c r="E1195" s="105"/>
      <c r="F1195" s="105"/>
      <c r="G1195" s="106"/>
      <c r="H1195" s="105"/>
    </row>
    <row r="1196">
      <c r="A1196" s="104"/>
      <c r="B1196" s="104"/>
      <c r="C1196" s="105"/>
      <c r="D1196" s="105"/>
      <c r="E1196" s="105"/>
      <c r="F1196" s="105"/>
      <c r="G1196" s="106"/>
      <c r="H1196" s="105"/>
    </row>
    <row r="1197">
      <c r="A1197" s="104"/>
      <c r="B1197" s="104"/>
      <c r="C1197" s="105"/>
      <c r="D1197" s="105"/>
      <c r="E1197" s="105"/>
      <c r="F1197" s="105"/>
      <c r="G1197" s="106"/>
      <c r="H1197" s="105"/>
    </row>
    <row r="1198">
      <c r="A1198" s="104"/>
      <c r="B1198" s="104"/>
      <c r="C1198" s="105"/>
      <c r="D1198" s="105"/>
      <c r="E1198" s="105"/>
      <c r="F1198" s="105"/>
      <c r="G1198" s="106"/>
      <c r="H1198" s="105"/>
    </row>
    <row r="1199">
      <c r="A1199" s="104"/>
      <c r="B1199" s="104"/>
      <c r="C1199" s="105"/>
      <c r="D1199" s="105"/>
      <c r="E1199" s="105"/>
      <c r="F1199" s="105"/>
      <c r="G1199" s="106"/>
      <c r="H1199" s="105"/>
    </row>
    <row r="1200">
      <c r="A1200" s="104"/>
      <c r="B1200" s="104"/>
      <c r="C1200" s="105"/>
      <c r="D1200" s="105"/>
      <c r="E1200" s="105"/>
      <c r="F1200" s="105"/>
      <c r="G1200" s="106"/>
      <c r="H1200" s="105"/>
    </row>
    <row r="1201">
      <c r="A1201" s="104"/>
      <c r="B1201" s="104"/>
      <c r="C1201" s="105"/>
      <c r="D1201" s="105"/>
      <c r="E1201" s="105"/>
      <c r="F1201" s="105"/>
      <c r="G1201" s="106"/>
      <c r="H1201" s="105"/>
    </row>
    <row r="1202">
      <c r="A1202" s="104"/>
      <c r="B1202" s="104"/>
      <c r="C1202" s="105"/>
      <c r="D1202" s="105"/>
      <c r="E1202" s="105"/>
      <c r="F1202" s="105"/>
      <c r="G1202" s="106"/>
      <c r="H1202" s="105"/>
    </row>
    <row r="1203">
      <c r="A1203" s="104"/>
      <c r="B1203" s="104"/>
      <c r="C1203" s="105"/>
      <c r="D1203" s="105"/>
      <c r="E1203" s="105"/>
      <c r="F1203" s="105"/>
      <c r="G1203" s="106"/>
      <c r="H1203" s="105"/>
    </row>
    <row r="1204">
      <c r="A1204" s="104"/>
      <c r="B1204" s="104"/>
      <c r="C1204" s="105"/>
      <c r="D1204" s="105"/>
      <c r="E1204" s="105"/>
      <c r="F1204" s="105"/>
      <c r="G1204" s="106"/>
      <c r="H1204" s="105"/>
    </row>
    <row r="1205">
      <c r="A1205" s="104"/>
      <c r="B1205" s="104"/>
      <c r="C1205" s="105"/>
      <c r="D1205" s="105"/>
      <c r="E1205" s="105"/>
      <c r="F1205" s="105"/>
      <c r="G1205" s="106"/>
      <c r="H1205" s="105"/>
    </row>
    <row r="1206">
      <c r="A1206" s="104"/>
      <c r="B1206" s="104"/>
      <c r="C1206" s="105"/>
      <c r="D1206" s="105"/>
      <c r="E1206" s="105"/>
      <c r="F1206" s="105"/>
      <c r="G1206" s="106"/>
      <c r="H1206" s="105"/>
    </row>
    <row r="1207">
      <c r="A1207" s="104"/>
      <c r="B1207" s="104"/>
      <c r="C1207" s="105"/>
      <c r="D1207" s="105"/>
      <c r="E1207" s="105"/>
      <c r="F1207" s="105"/>
      <c r="G1207" s="106"/>
      <c r="H1207" s="105"/>
    </row>
    <row r="1208">
      <c r="A1208" s="104"/>
      <c r="B1208" s="104"/>
      <c r="C1208" s="105"/>
      <c r="D1208" s="105"/>
      <c r="E1208" s="105"/>
      <c r="F1208" s="105"/>
      <c r="G1208" s="106"/>
      <c r="H1208" s="105"/>
    </row>
    <row r="1209">
      <c r="A1209" s="104"/>
      <c r="B1209" s="104"/>
      <c r="C1209" s="105"/>
      <c r="D1209" s="105"/>
      <c r="E1209" s="105"/>
      <c r="F1209" s="105"/>
      <c r="G1209" s="106"/>
      <c r="H1209" s="105"/>
    </row>
    <row r="1210">
      <c r="A1210" s="104"/>
      <c r="B1210" s="104"/>
      <c r="C1210" s="105"/>
      <c r="D1210" s="105"/>
      <c r="E1210" s="105"/>
      <c r="F1210" s="105"/>
      <c r="G1210" s="106"/>
      <c r="H1210" s="105"/>
    </row>
    <row r="1211">
      <c r="A1211" s="104"/>
      <c r="B1211" s="104"/>
      <c r="C1211" s="105"/>
      <c r="D1211" s="105"/>
      <c r="E1211" s="105"/>
      <c r="F1211" s="105"/>
      <c r="G1211" s="106"/>
      <c r="H1211" s="105"/>
    </row>
    <row r="1212">
      <c r="A1212" s="104"/>
      <c r="B1212" s="104"/>
      <c r="C1212" s="105"/>
      <c r="D1212" s="105"/>
      <c r="E1212" s="105"/>
      <c r="F1212" s="105"/>
      <c r="G1212" s="106"/>
      <c r="H1212" s="105"/>
    </row>
    <row r="1213">
      <c r="A1213" s="104"/>
      <c r="B1213" s="104"/>
      <c r="C1213" s="105"/>
      <c r="D1213" s="105"/>
      <c r="E1213" s="105"/>
      <c r="F1213" s="105"/>
      <c r="G1213" s="106"/>
      <c r="H1213" s="105"/>
    </row>
    <row r="1214">
      <c r="A1214" s="104"/>
      <c r="B1214" s="104"/>
      <c r="C1214" s="105"/>
      <c r="D1214" s="105"/>
      <c r="E1214" s="105"/>
      <c r="F1214" s="105"/>
      <c r="G1214" s="106"/>
      <c r="H1214" s="105"/>
    </row>
    <row r="1215">
      <c r="A1215" s="104"/>
      <c r="B1215" s="104"/>
      <c r="C1215" s="105"/>
      <c r="D1215" s="105"/>
      <c r="E1215" s="105"/>
      <c r="F1215" s="105"/>
      <c r="G1215" s="106"/>
      <c r="H1215" s="105"/>
    </row>
    <row r="1216">
      <c r="A1216" s="104"/>
      <c r="B1216" s="104"/>
      <c r="C1216" s="105"/>
      <c r="D1216" s="105"/>
      <c r="E1216" s="105"/>
      <c r="F1216" s="105"/>
      <c r="G1216" s="106"/>
      <c r="H1216" s="105"/>
    </row>
    <row r="1217">
      <c r="A1217" s="104"/>
      <c r="B1217" s="104"/>
      <c r="C1217" s="105"/>
      <c r="D1217" s="105"/>
      <c r="E1217" s="105"/>
      <c r="F1217" s="105"/>
      <c r="G1217" s="106"/>
      <c r="H1217" s="105"/>
    </row>
    <row r="1218">
      <c r="A1218" s="104"/>
      <c r="B1218" s="104"/>
      <c r="C1218" s="105"/>
      <c r="D1218" s="105"/>
      <c r="E1218" s="105"/>
      <c r="F1218" s="105"/>
      <c r="G1218" s="106"/>
      <c r="H1218" s="105"/>
    </row>
    <row r="1219">
      <c r="A1219" s="104"/>
      <c r="B1219" s="104"/>
      <c r="C1219" s="105"/>
      <c r="D1219" s="105"/>
      <c r="E1219" s="105"/>
      <c r="F1219" s="105"/>
      <c r="G1219" s="106"/>
      <c r="H1219" s="105"/>
    </row>
    <row r="1220">
      <c r="A1220" s="104"/>
      <c r="B1220" s="104"/>
      <c r="C1220" s="105"/>
      <c r="D1220" s="105"/>
      <c r="E1220" s="105"/>
      <c r="F1220" s="105"/>
      <c r="G1220" s="106"/>
      <c r="H1220" s="105"/>
    </row>
    <row r="1221">
      <c r="A1221" s="104"/>
      <c r="B1221" s="104"/>
      <c r="C1221" s="105"/>
      <c r="D1221" s="105"/>
      <c r="E1221" s="105"/>
      <c r="F1221" s="105"/>
      <c r="G1221" s="106"/>
      <c r="H1221" s="105"/>
    </row>
    <row r="1222">
      <c r="A1222" s="104"/>
      <c r="B1222" s="104"/>
      <c r="C1222" s="105"/>
      <c r="D1222" s="105"/>
      <c r="E1222" s="105"/>
      <c r="F1222" s="105"/>
      <c r="G1222" s="106"/>
      <c r="H1222" s="105"/>
    </row>
    <row r="1223">
      <c r="A1223" s="104"/>
      <c r="B1223" s="104"/>
      <c r="C1223" s="105"/>
      <c r="D1223" s="105"/>
      <c r="E1223" s="105"/>
      <c r="F1223" s="105"/>
      <c r="G1223" s="106"/>
      <c r="H1223" s="105"/>
    </row>
    <row r="1224">
      <c r="A1224" s="104"/>
      <c r="B1224" s="104"/>
      <c r="C1224" s="105"/>
      <c r="D1224" s="105"/>
      <c r="E1224" s="105"/>
      <c r="F1224" s="105"/>
      <c r="G1224" s="106"/>
      <c r="H1224" s="105"/>
    </row>
    <row r="1225">
      <c r="A1225" s="104"/>
      <c r="B1225" s="104"/>
      <c r="C1225" s="105"/>
      <c r="D1225" s="105"/>
      <c r="E1225" s="105"/>
      <c r="F1225" s="105"/>
      <c r="G1225" s="106"/>
      <c r="H1225" s="105"/>
    </row>
    <row r="1226">
      <c r="A1226" s="104"/>
      <c r="B1226" s="104"/>
      <c r="C1226" s="105"/>
      <c r="D1226" s="105"/>
      <c r="E1226" s="105"/>
      <c r="F1226" s="105"/>
      <c r="G1226" s="106"/>
      <c r="H1226" s="105"/>
    </row>
    <row r="1227">
      <c r="A1227" s="104"/>
      <c r="B1227" s="104"/>
      <c r="C1227" s="105"/>
      <c r="D1227" s="105"/>
      <c r="E1227" s="105"/>
      <c r="F1227" s="105"/>
      <c r="G1227" s="106"/>
      <c r="H1227" s="105"/>
    </row>
    <row r="1228">
      <c r="A1228" s="104"/>
      <c r="B1228" s="104"/>
      <c r="C1228" s="105"/>
      <c r="D1228" s="105"/>
      <c r="E1228" s="105"/>
      <c r="F1228" s="105"/>
      <c r="G1228" s="106"/>
      <c r="H1228" s="105"/>
    </row>
    <row r="1229">
      <c r="A1229" s="104"/>
      <c r="B1229" s="104"/>
      <c r="C1229" s="105"/>
      <c r="D1229" s="105"/>
      <c r="E1229" s="105"/>
      <c r="F1229" s="105"/>
      <c r="G1229" s="106"/>
      <c r="H1229" s="105"/>
    </row>
    <row r="1230">
      <c r="A1230" s="104"/>
      <c r="B1230" s="104"/>
      <c r="C1230" s="105"/>
      <c r="D1230" s="105"/>
      <c r="E1230" s="105"/>
      <c r="F1230" s="105"/>
      <c r="G1230" s="106"/>
      <c r="H1230" s="105"/>
    </row>
    <row r="1231">
      <c r="A1231" s="104"/>
      <c r="B1231" s="104"/>
      <c r="C1231" s="105"/>
      <c r="D1231" s="105"/>
      <c r="E1231" s="105"/>
      <c r="F1231" s="105"/>
      <c r="G1231" s="106"/>
      <c r="H1231" s="105"/>
    </row>
    <row r="1232">
      <c r="A1232" s="104"/>
      <c r="B1232" s="104"/>
      <c r="C1232" s="105"/>
      <c r="D1232" s="105"/>
      <c r="E1232" s="105"/>
      <c r="F1232" s="105"/>
      <c r="G1232" s="106"/>
      <c r="H1232" s="105"/>
    </row>
    <row r="1233">
      <c r="A1233" s="104"/>
      <c r="B1233" s="104"/>
      <c r="C1233" s="105"/>
      <c r="D1233" s="105"/>
      <c r="E1233" s="105"/>
      <c r="F1233" s="105"/>
      <c r="G1233" s="106"/>
      <c r="H1233" s="105"/>
    </row>
    <row r="1234">
      <c r="A1234" s="104"/>
      <c r="B1234" s="104"/>
      <c r="C1234" s="105"/>
      <c r="D1234" s="105"/>
      <c r="E1234" s="105"/>
      <c r="F1234" s="105"/>
      <c r="G1234" s="106"/>
      <c r="H1234" s="105"/>
    </row>
    <row r="1235">
      <c r="A1235" s="104"/>
      <c r="B1235" s="104"/>
      <c r="C1235" s="105"/>
      <c r="D1235" s="105"/>
      <c r="E1235" s="105"/>
      <c r="F1235" s="105"/>
      <c r="G1235" s="106"/>
      <c r="H1235" s="105"/>
    </row>
    <row r="1236">
      <c r="A1236" s="104"/>
      <c r="B1236" s="104"/>
      <c r="C1236" s="105"/>
      <c r="D1236" s="105"/>
      <c r="E1236" s="105"/>
      <c r="F1236" s="105"/>
      <c r="G1236" s="106"/>
      <c r="H1236" s="105"/>
    </row>
    <row r="1237">
      <c r="A1237" s="104"/>
      <c r="B1237" s="104"/>
      <c r="C1237" s="105"/>
      <c r="D1237" s="105"/>
      <c r="E1237" s="105"/>
      <c r="F1237" s="105"/>
      <c r="G1237" s="106"/>
      <c r="H1237" s="105"/>
    </row>
    <row r="1238">
      <c r="A1238" s="104"/>
      <c r="B1238" s="104"/>
      <c r="C1238" s="105"/>
      <c r="D1238" s="105"/>
      <c r="E1238" s="105"/>
      <c r="F1238" s="105"/>
      <c r="G1238" s="106"/>
      <c r="H1238" s="105"/>
    </row>
    <row r="1239">
      <c r="A1239" s="104"/>
      <c r="B1239" s="104"/>
      <c r="C1239" s="105"/>
      <c r="D1239" s="105"/>
      <c r="E1239" s="105"/>
      <c r="F1239" s="105"/>
      <c r="G1239" s="106"/>
      <c r="H1239" s="105"/>
    </row>
    <row r="1240">
      <c r="A1240" s="104"/>
      <c r="B1240" s="104"/>
      <c r="C1240" s="105"/>
      <c r="D1240" s="105"/>
      <c r="E1240" s="105"/>
      <c r="F1240" s="105"/>
      <c r="G1240" s="106"/>
      <c r="H1240" s="105"/>
    </row>
    <row r="1241">
      <c r="A1241" s="104"/>
      <c r="B1241" s="104"/>
      <c r="C1241" s="105"/>
      <c r="D1241" s="105"/>
      <c r="E1241" s="105"/>
      <c r="F1241" s="105"/>
      <c r="G1241" s="106"/>
      <c r="H1241" s="105"/>
    </row>
    <row r="1242">
      <c r="A1242" s="104"/>
      <c r="B1242" s="104"/>
      <c r="C1242" s="105"/>
      <c r="D1242" s="105"/>
      <c r="E1242" s="105"/>
      <c r="F1242" s="105"/>
      <c r="G1242" s="106"/>
      <c r="H1242" s="105"/>
    </row>
    <row r="1243">
      <c r="A1243" s="104"/>
      <c r="B1243" s="104"/>
      <c r="C1243" s="105"/>
      <c r="D1243" s="105"/>
      <c r="E1243" s="105"/>
      <c r="F1243" s="105"/>
      <c r="G1243" s="106"/>
      <c r="H1243" s="105"/>
    </row>
    <row r="1244">
      <c r="A1244" s="104"/>
      <c r="B1244" s="104"/>
      <c r="C1244" s="105"/>
      <c r="D1244" s="105"/>
      <c r="E1244" s="105"/>
      <c r="F1244" s="105"/>
      <c r="G1244" s="106"/>
      <c r="H1244" s="105"/>
    </row>
    <row r="1245">
      <c r="A1245" s="104"/>
      <c r="B1245" s="104"/>
      <c r="C1245" s="105"/>
      <c r="D1245" s="105"/>
      <c r="E1245" s="105"/>
      <c r="F1245" s="105"/>
      <c r="G1245" s="106"/>
      <c r="H1245" s="105"/>
    </row>
    <row r="1246">
      <c r="A1246" s="104"/>
      <c r="B1246" s="104"/>
      <c r="C1246" s="105"/>
      <c r="D1246" s="105"/>
      <c r="E1246" s="105"/>
      <c r="F1246" s="105"/>
      <c r="G1246" s="106"/>
      <c r="H1246" s="105"/>
    </row>
    <row r="1247">
      <c r="A1247" s="104"/>
      <c r="B1247" s="104"/>
      <c r="C1247" s="105"/>
      <c r="D1247" s="105"/>
      <c r="E1247" s="105"/>
      <c r="F1247" s="105"/>
      <c r="G1247" s="106"/>
      <c r="H1247" s="105"/>
    </row>
    <row r="1248">
      <c r="A1248" s="104"/>
      <c r="B1248" s="104"/>
      <c r="C1248" s="105"/>
      <c r="D1248" s="105"/>
      <c r="E1248" s="105"/>
      <c r="F1248" s="105"/>
      <c r="G1248" s="106"/>
      <c r="H1248" s="105"/>
    </row>
    <row r="1249">
      <c r="A1249" s="104"/>
      <c r="B1249" s="104"/>
      <c r="C1249" s="105"/>
      <c r="D1249" s="105"/>
      <c r="E1249" s="105"/>
      <c r="F1249" s="105"/>
      <c r="G1249" s="106"/>
      <c r="H1249" s="105"/>
    </row>
    <row r="1250">
      <c r="A1250" s="104"/>
      <c r="B1250" s="104"/>
      <c r="C1250" s="105"/>
      <c r="D1250" s="105"/>
      <c r="E1250" s="105"/>
      <c r="F1250" s="105"/>
      <c r="G1250" s="106"/>
      <c r="H1250" s="105"/>
    </row>
    <row r="1251">
      <c r="A1251" s="104"/>
      <c r="B1251" s="104"/>
      <c r="C1251" s="105"/>
      <c r="D1251" s="105"/>
      <c r="E1251" s="105"/>
      <c r="F1251" s="105"/>
      <c r="G1251" s="106"/>
      <c r="H1251" s="105"/>
    </row>
    <row r="1252">
      <c r="A1252" s="104"/>
      <c r="B1252" s="104"/>
      <c r="C1252" s="105"/>
      <c r="D1252" s="105"/>
      <c r="E1252" s="105"/>
      <c r="F1252" s="105"/>
      <c r="G1252" s="106"/>
      <c r="H1252" s="105"/>
    </row>
    <row r="1253">
      <c r="A1253" s="104"/>
      <c r="B1253" s="104"/>
      <c r="C1253" s="105"/>
      <c r="D1253" s="105"/>
      <c r="E1253" s="105"/>
      <c r="F1253" s="105"/>
      <c r="G1253" s="106"/>
      <c r="H1253" s="105"/>
    </row>
    <row r="1254">
      <c r="A1254" s="104"/>
      <c r="B1254" s="104"/>
      <c r="C1254" s="105"/>
      <c r="D1254" s="105"/>
      <c r="E1254" s="105"/>
      <c r="F1254" s="105"/>
      <c r="G1254" s="106"/>
      <c r="H1254" s="105"/>
    </row>
    <row r="1255">
      <c r="A1255" s="104"/>
      <c r="B1255" s="104"/>
      <c r="C1255" s="105"/>
      <c r="D1255" s="105"/>
      <c r="E1255" s="105"/>
      <c r="F1255" s="105"/>
      <c r="G1255" s="106"/>
      <c r="H1255" s="105"/>
    </row>
    <row r="1256">
      <c r="A1256" s="104"/>
      <c r="B1256" s="104"/>
      <c r="C1256" s="105"/>
      <c r="D1256" s="105"/>
      <c r="E1256" s="105"/>
      <c r="F1256" s="105"/>
      <c r="G1256" s="106"/>
      <c r="H1256" s="105"/>
    </row>
    <row r="1257">
      <c r="A1257" s="104"/>
      <c r="B1257" s="104"/>
      <c r="C1257" s="105"/>
      <c r="D1257" s="105"/>
      <c r="E1257" s="105"/>
      <c r="F1257" s="105"/>
      <c r="G1257" s="106"/>
      <c r="H1257" s="105"/>
    </row>
    <row r="1258">
      <c r="A1258" s="104"/>
      <c r="B1258" s="104"/>
      <c r="C1258" s="105"/>
      <c r="D1258" s="105"/>
      <c r="E1258" s="105"/>
      <c r="F1258" s="105"/>
      <c r="G1258" s="106"/>
      <c r="H1258" s="105"/>
    </row>
    <row r="1259">
      <c r="A1259" s="104"/>
      <c r="B1259" s="104"/>
      <c r="C1259" s="105"/>
      <c r="D1259" s="105"/>
      <c r="E1259" s="105"/>
      <c r="F1259" s="105"/>
      <c r="G1259" s="106"/>
      <c r="H1259" s="105"/>
    </row>
    <row r="1260">
      <c r="A1260" s="104"/>
      <c r="B1260" s="104"/>
      <c r="C1260" s="105"/>
      <c r="D1260" s="105"/>
      <c r="E1260" s="105"/>
      <c r="F1260" s="105"/>
      <c r="G1260" s="106"/>
      <c r="H1260" s="105"/>
    </row>
    <row r="1261">
      <c r="A1261" s="104"/>
      <c r="B1261" s="104"/>
      <c r="C1261" s="105"/>
      <c r="D1261" s="105"/>
      <c r="E1261" s="105"/>
      <c r="F1261" s="105"/>
      <c r="G1261" s="106"/>
      <c r="H1261" s="105"/>
    </row>
    <row r="1262">
      <c r="A1262" s="104"/>
      <c r="B1262" s="104"/>
      <c r="C1262" s="105"/>
      <c r="D1262" s="105"/>
      <c r="E1262" s="105"/>
      <c r="F1262" s="105"/>
      <c r="G1262" s="106"/>
      <c r="H1262" s="105"/>
    </row>
    <row r="1263">
      <c r="A1263" s="104"/>
      <c r="B1263" s="104"/>
      <c r="C1263" s="105"/>
      <c r="D1263" s="105"/>
      <c r="E1263" s="105"/>
      <c r="F1263" s="105"/>
      <c r="G1263" s="106"/>
      <c r="H1263" s="105"/>
    </row>
    <row r="1264">
      <c r="A1264" s="104"/>
      <c r="B1264" s="104"/>
      <c r="C1264" s="105"/>
      <c r="D1264" s="105"/>
      <c r="E1264" s="105"/>
      <c r="F1264" s="105"/>
      <c r="G1264" s="106"/>
      <c r="H1264" s="105"/>
    </row>
    <row r="1265">
      <c r="A1265" s="104"/>
      <c r="B1265" s="104"/>
      <c r="C1265" s="105"/>
      <c r="D1265" s="105"/>
      <c r="E1265" s="105"/>
      <c r="F1265" s="105"/>
      <c r="G1265" s="106"/>
      <c r="H1265" s="105"/>
    </row>
    <row r="1266">
      <c r="A1266" s="104"/>
      <c r="B1266" s="104"/>
      <c r="C1266" s="105"/>
      <c r="D1266" s="105"/>
      <c r="E1266" s="105"/>
      <c r="F1266" s="105"/>
      <c r="G1266" s="106"/>
      <c r="H1266" s="105"/>
    </row>
    <row r="1267">
      <c r="A1267" s="104"/>
      <c r="B1267" s="104"/>
      <c r="C1267" s="105"/>
      <c r="D1267" s="105"/>
      <c r="E1267" s="105"/>
      <c r="F1267" s="105"/>
      <c r="G1267" s="106"/>
      <c r="H1267" s="105"/>
    </row>
    <row r="1268">
      <c r="A1268" s="104"/>
      <c r="B1268" s="104"/>
      <c r="C1268" s="105"/>
      <c r="D1268" s="105"/>
      <c r="E1268" s="105"/>
      <c r="F1268" s="105"/>
      <c r="G1268" s="106"/>
      <c r="H1268" s="105"/>
    </row>
    <row r="1269">
      <c r="A1269" s="104"/>
      <c r="B1269" s="104"/>
      <c r="C1269" s="105"/>
      <c r="D1269" s="105"/>
      <c r="E1269" s="105"/>
      <c r="F1269" s="105"/>
      <c r="G1269" s="106"/>
      <c r="H1269" s="105"/>
    </row>
    <row r="1270">
      <c r="A1270" s="104"/>
      <c r="B1270" s="104"/>
      <c r="C1270" s="105"/>
      <c r="D1270" s="105"/>
      <c r="E1270" s="105"/>
      <c r="F1270" s="105"/>
      <c r="G1270" s="106"/>
      <c r="H1270" s="105"/>
    </row>
    <row r="1271">
      <c r="A1271" s="104"/>
      <c r="B1271" s="104"/>
      <c r="C1271" s="105"/>
      <c r="D1271" s="105"/>
      <c r="E1271" s="105"/>
      <c r="F1271" s="105"/>
      <c r="G1271" s="106"/>
      <c r="H1271" s="105"/>
    </row>
    <row r="1272">
      <c r="A1272" s="104"/>
      <c r="B1272" s="104"/>
      <c r="C1272" s="105"/>
      <c r="D1272" s="105"/>
      <c r="E1272" s="105"/>
      <c r="F1272" s="105"/>
      <c r="G1272" s="106"/>
      <c r="H1272" s="105"/>
    </row>
    <row r="1273">
      <c r="A1273" s="104"/>
      <c r="B1273" s="104"/>
      <c r="C1273" s="105"/>
      <c r="D1273" s="105"/>
      <c r="E1273" s="105"/>
      <c r="F1273" s="105"/>
      <c r="G1273" s="106"/>
      <c r="H1273" s="105"/>
    </row>
    <row r="1274">
      <c r="A1274" s="104"/>
      <c r="B1274" s="104"/>
      <c r="C1274" s="105"/>
      <c r="D1274" s="105"/>
      <c r="E1274" s="105"/>
      <c r="F1274" s="105"/>
      <c r="G1274" s="106"/>
      <c r="H1274" s="105"/>
    </row>
    <row r="1275">
      <c r="A1275" s="104"/>
      <c r="B1275" s="104"/>
      <c r="C1275" s="105"/>
      <c r="D1275" s="105"/>
      <c r="E1275" s="105"/>
      <c r="F1275" s="105"/>
      <c r="G1275" s="106"/>
      <c r="H1275" s="105"/>
    </row>
    <row r="1276">
      <c r="A1276" s="104"/>
      <c r="B1276" s="104"/>
      <c r="C1276" s="105"/>
      <c r="D1276" s="105"/>
      <c r="E1276" s="105"/>
      <c r="F1276" s="105"/>
      <c r="G1276" s="106"/>
      <c r="H1276" s="105"/>
    </row>
    <row r="1277">
      <c r="A1277" s="104"/>
      <c r="B1277" s="104"/>
      <c r="C1277" s="105"/>
      <c r="D1277" s="105"/>
      <c r="E1277" s="105"/>
      <c r="F1277" s="105"/>
      <c r="G1277" s="106"/>
      <c r="H1277" s="105"/>
    </row>
    <row r="1278">
      <c r="A1278" s="104"/>
      <c r="B1278" s="104"/>
      <c r="C1278" s="105"/>
      <c r="D1278" s="105"/>
      <c r="E1278" s="105"/>
      <c r="F1278" s="105"/>
      <c r="G1278" s="106"/>
      <c r="H1278" s="105"/>
    </row>
    <row r="1279">
      <c r="A1279" s="104"/>
      <c r="B1279" s="104"/>
      <c r="C1279" s="105"/>
      <c r="D1279" s="105"/>
      <c r="E1279" s="105"/>
      <c r="F1279" s="105"/>
      <c r="G1279" s="106"/>
      <c r="H1279" s="105"/>
    </row>
    <row r="1280">
      <c r="A1280" s="104"/>
      <c r="B1280" s="104"/>
      <c r="C1280" s="105"/>
      <c r="D1280" s="105"/>
      <c r="E1280" s="105"/>
      <c r="F1280" s="105"/>
      <c r="G1280" s="106"/>
      <c r="H1280" s="105"/>
    </row>
    <row r="1281">
      <c r="A1281" s="104"/>
      <c r="B1281" s="104"/>
      <c r="C1281" s="105"/>
      <c r="D1281" s="105"/>
      <c r="E1281" s="105"/>
      <c r="F1281" s="105"/>
      <c r="G1281" s="106"/>
      <c r="H1281" s="105"/>
    </row>
    <row r="1282">
      <c r="A1282" s="104"/>
      <c r="B1282" s="104"/>
      <c r="C1282" s="105"/>
      <c r="D1282" s="105"/>
      <c r="E1282" s="105"/>
      <c r="F1282" s="105"/>
      <c r="G1282" s="106"/>
      <c r="H1282" s="105"/>
    </row>
    <row r="1283">
      <c r="A1283" s="104"/>
      <c r="B1283" s="104"/>
      <c r="C1283" s="105"/>
      <c r="D1283" s="105"/>
      <c r="E1283" s="105"/>
      <c r="F1283" s="105"/>
      <c r="G1283" s="106"/>
      <c r="H1283" s="105"/>
    </row>
    <row r="1284">
      <c r="A1284" s="104"/>
      <c r="B1284" s="104"/>
      <c r="C1284" s="105"/>
      <c r="D1284" s="105"/>
      <c r="E1284" s="105"/>
      <c r="F1284" s="105"/>
      <c r="G1284" s="106"/>
      <c r="H1284" s="105"/>
    </row>
    <row r="1285">
      <c r="A1285" s="104"/>
      <c r="B1285" s="104"/>
      <c r="C1285" s="105"/>
      <c r="D1285" s="105"/>
      <c r="E1285" s="105"/>
      <c r="F1285" s="105"/>
      <c r="G1285" s="106"/>
      <c r="H1285" s="105"/>
    </row>
    <row r="1286">
      <c r="A1286" s="104"/>
      <c r="B1286" s="104"/>
      <c r="C1286" s="105"/>
      <c r="D1286" s="105"/>
      <c r="E1286" s="105"/>
      <c r="F1286" s="105"/>
      <c r="G1286" s="106"/>
      <c r="H1286" s="105"/>
    </row>
    <row r="1287">
      <c r="A1287" s="104"/>
      <c r="B1287" s="104"/>
      <c r="C1287" s="105"/>
      <c r="D1287" s="105"/>
      <c r="E1287" s="105"/>
      <c r="F1287" s="105"/>
      <c r="G1287" s="106"/>
      <c r="H1287" s="105"/>
    </row>
    <row r="1288">
      <c r="A1288" s="104"/>
      <c r="B1288" s="104"/>
      <c r="C1288" s="105"/>
      <c r="D1288" s="105"/>
      <c r="E1288" s="105"/>
      <c r="F1288" s="105"/>
      <c r="G1288" s="106"/>
      <c r="H1288" s="105"/>
    </row>
    <row r="1289">
      <c r="A1289" s="104"/>
      <c r="B1289" s="104"/>
      <c r="C1289" s="105"/>
      <c r="D1289" s="105"/>
      <c r="E1289" s="105"/>
      <c r="F1289" s="105"/>
      <c r="G1289" s="106"/>
      <c r="H1289" s="105"/>
    </row>
    <row r="1290">
      <c r="A1290" s="104"/>
      <c r="B1290" s="104"/>
      <c r="C1290" s="105"/>
      <c r="D1290" s="105"/>
      <c r="E1290" s="105"/>
      <c r="F1290" s="105"/>
      <c r="G1290" s="106"/>
      <c r="H1290" s="105"/>
    </row>
    <row r="1291">
      <c r="A1291" s="104"/>
      <c r="B1291" s="104"/>
      <c r="C1291" s="105"/>
      <c r="D1291" s="105"/>
      <c r="E1291" s="105"/>
      <c r="F1291" s="105"/>
      <c r="G1291" s="106"/>
      <c r="H1291" s="105"/>
    </row>
    <row r="1292">
      <c r="A1292" s="104"/>
      <c r="B1292" s="104"/>
      <c r="C1292" s="105"/>
      <c r="D1292" s="105"/>
      <c r="E1292" s="105"/>
      <c r="F1292" s="105"/>
      <c r="G1292" s="106"/>
      <c r="H1292" s="105"/>
    </row>
    <row r="1293">
      <c r="A1293" s="104"/>
      <c r="B1293" s="104"/>
      <c r="C1293" s="105"/>
      <c r="D1293" s="105"/>
      <c r="E1293" s="105"/>
      <c r="F1293" s="105"/>
      <c r="G1293" s="106"/>
      <c r="H1293" s="105"/>
    </row>
    <row r="1294">
      <c r="A1294" s="104"/>
      <c r="B1294" s="104"/>
      <c r="C1294" s="105"/>
      <c r="D1294" s="105"/>
      <c r="E1294" s="105"/>
      <c r="F1294" s="105"/>
      <c r="G1294" s="106"/>
      <c r="H1294" s="105"/>
    </row>
    <row r="1295">
      <c r="A1295" s="104"/>
      <c r="B1295" s="104"/>
      <c r="C1295" s="105"/>
      <c r="D1295" s="105"/>
      <c r="E1295" s="105"/>
      <c r="F1295" s="105"/>
      <c r="G1295" s="106"/>
      <c r="H1295" s="105"/>
    </row>
    <row r="1296">
      <c r="A1296" s="104"/>
      <c r="B1296" s="104"/>
      <c r="C1296" s="105"/>
      <c r="D1296" s="105"/>
      <c r="E1296" s="105"/>
      <c r="F1296" s="105"/>
      <c r="G1296" s="106"/>
      <c r="H1296" s="105"/>
    </row>
    <row r="1297">
      <c r="A1297" s="104"/>
      <c r="B1297" s="104"/>
      <c r="C1297" s="105"/>
      <c r="D1297" s="105"/>
      <c r="E1297" s="105"/>
      <c r="F1297" s="105"/>
      <c r="G1297" s="106"/>
      <c r="H1297" s="105"/>
    </row>
    <row r="1298">
      <c r="A1298" s="104"/>
      <c r="B1298" s="104"/>
      <c r="C1298" s="105"/>
      <c r="D1298" s="105"/>
      <c r="E1298" s="105"/>
      <c r="F1298" s="105"/>
      <c r="G1298" s="106"/>
      <c r="H1298" s="105"/>
    </row>
    <row r="1299">
      <c r="A1299" s="104"/>
      <c r="B1299" s="104"/>
      <c r="C1299" s="105"/>
      <c r="D1299" s="105"/>
      <c r="E1299" s="105"/>
      <c r="F1299" s="105"/>
      <c r="G1299" s="106"/>
      <c r="H1299" s="105"/>
    </row>
    <row r="1300">
      <c r="A1300" s="104"/>
      <c r="B1300" s="104"/>
      <c r="C1300" s="105"/>
      <c r="D1300" s="105"/>
      <c r="E1300" s="105"/>
      <c r="F1300" s="105"/>
      <c r="G1300" s="106"/>
      <c r="H1300" s="105"/>
    </row>
    <row r="1301">
      <c r="A1301" s="104"/>
      <c r="B1301" s="104"/>
      <c r="C1301" s="105"/>
      <c r="D1301" s="105"/>
      <c r="E1301" s="105"/>
      <c r="F1301" s="105"/>
      <c r="G1301" s="106"/>
      <c r="H1301" s="105"/>
    </row>
    <row r="1302">
      <c r="A1302" s="104"/>
      <c r="B1302" s="104"/>
      <c r="C1302" s="105"/>
      <c r="D1302" s="105"/>
      <c r="E1302" s="105"/>
      <c r="F1302" s="105"/>
      <c r="G1302" s="106"/>
      <c r="H1302" s="105"/>
    </row>
    <row r="1303">
      <c r="A1303" s="104"/>
      <c r="B1303" s="104"/>
      <c r="C1303" s="105"/>
      <c r="D1303" s="105"/>
      <c r="E1303" s="105"/>
      <c r="F1303" s="105"/>
      <c r="G1303" s="106"/>
      <c r="H1303" s="105"/>
    </row>
    <row r="1304">
      <c r="A1304" s="104"/>
      <c r="B1304" s="104"/>
      <c r="C1304" s="105"/>
      <c r="D1304" s="105"/>
      <c r="E1304" s="105"/>
      <c r="F1304" s="105"/>
      <c r="G1304" s="106"/>
      <c r="H1304" s="105"/>
    </row>
    <row r="1305">
      <c r="A1305" s="104"/>
      <c r="B1305" s="104"/>
      <c r="C1305" s="105"/>
      <c r="D1305" s="105"/>
      <c r="E1305" s="105"/>
      <c r="F1305" s="105"/>
      <c r="G1305" s="106"/>
      <c r="H1305" s="105"/>
    </row>
    <row r="1306">
      <c r="A1306" s="104"/>
      <c r="B1306" s="104"/>
      <c r="C1306" s="105"/>
      <c r="D1306" s="105"/>
      <c r="E1306" s="105"/>
      <c r="F1306" s="105"/>
      <c r="G1306" s="106"/>
      <c r="H1306" s="105"/>
    </row>
    <row r="1307">
      <c r="A1307" s="104"/>
      <c r="B1307" s="104"/>
      <c r="C1307" s="105"/>
      <c r="D1307" s="105"/>
      <c r="E1307" s="105"/>
      <c r="F1307" s="105"/>
      <c r="G1307" s="106"/>
      <c r="H1307" s="105"/>
    </row>
    <row r="1308">
      <c r="A1308" s="104"/>
      <c r="B1308" s="104"/>
      <c r="C1308" s="105"/>
      <c r="D1308" s="105"/>
      <c r="E1308" s="105"/>
      <c r="F1308" s="105"/>
      <c r="G1308" s="106"/>
      <c r="H1308" s="105"/>
    </row>
    <row r="1309">
      <c r="A1309" s="104"/>
      <c r="B1309" s="104"/>
      <c r="C1309" s="105"/>
      <c r="D1309" s="105"/>
      <c r="E1309" s="105"/>
      <c r="F1309" s="105"/>
      <c r="G1309" s="106"/>
      <c r="H1309" s="105"/>
    </row>
    <row r="1310">
      <c r="A1310" s="104"/>
      <c r="B1310" s="104"/>
      <c r="C1310" s="105"/>
      <c r="D1310" s="105"/>
      <c r="E1310" s="105"/>
      <c r="F1310" s="105"/>
      <c r="G1310" s="106"/>
      <c r="H1310" s="105"/>
    </row>
    <row r="1311">
      <c r="A1311" s="104"/>
      <c r="B1311" s="104"/>
      <c r="C1311" s="105"/>
      <c r="D1311" s="105"/>
      <c r="E1311" s="105"/>
      <c r="F1311" s="105"/>
      <c r="G1311" s="106"/>
      <c r="H1311" s="105"/>
    </row>
    <row r="1312">
      <c r="A1312" s="104"/>
      <c r="B1312" s="104"/>
      <c r="C1312" s="105"/>
      <c r="D1312" s="105"/>
      <c r="E1312" s="105"/>
      <c r="F1312" s="105"/>
      <c r="G1312" s="106"/>
      <c r="H1312" s="105"/>
    </row>
    <row r="1313">
      <c r="A1313" s="104"/>
      <c r="B1313" s="104"/>
      <c r="C1313" s="105"/>
      <c r="D1313" s="105"/>
      <c r="E1313" s="105"/>
      <c r="F1313" s="105"/>
      <c r="G1313" s="106"/>
      <c r="H1313" s="105"/>
    </row>
    <row r="1314">
      <c r="A1314" s="104"/>
      <c r="B1314" s="104"/>
      <c r="C1314" s="105"/>
      <c r="D1314" s="105"/>
      <c r="E1314" s="105"/>
      <c r="F1314" s="105"/>
      <c r="G1314" s="106"/>
      <c r="H1314" s="105"/>
    </row>
    <row r="1315">
      <c r="A1315" s="104"/>
      <c r="B1315" s="104"/>
      <c r="C1315" s="105"/>
      <c r="D1315" s="105"/>
      <c r="E1315" s="105"/>
      <c r="F1315" s="105"/>
      <c r="G1315" s="106"/>
      <c r="H1315" s="105"/>
    </row>
    <row r="1316">
      <c r="A1316" s="104"/>
      <c r="B1316" s="104"/>
      <c r="C1316" s="105"/>
      <c r="D1316" s="105"/>
      <c r="E1316" s="105"/>
      <c r="F1316" s="105"/>
      <c r="G1316" s="106"/>
      <c r="H1316" s="105"/>
    </row>
    <row r="1317">
      <c r="A1317" s="104"/>
      <c r="B1317" s="104"/>
      <c r="C1317" s="105"/>
      <c r="D1317" s="105"/>
      <c r="E1317" s="105"/>
      <c r="F1317" s="105"/>
      <c r="G1317" s="106"/>
      <c r="H1317" s="105"/>
    </row>
    <row r="1318">
      <c r="A1318" s="104"/>
      <c r="B1318" s="104"/>
      <c r="C1318" s="105"/>
      <c r="D1318" s="105"/>
      <c r="E1318" s="105"/>
      <c r="F1318" s="105"/>
      <c r="G1318" s="106"/>
      <c r="H1318" s="105"/>
    </row>
    <row r="1319">
      <c r="A1319" s="104"/>
      <c r="B1319" s="104"/>
      <c r="C1319" s="105"/>
      <c r="D1319" s="105"/>
      <c r="E1319" s="105"/>
      <c r="F1319" s="105"/>
      <c r="G1319" s="106"/>
      <c r="H1319" s="105"/>
    </row>
    <row r="1320">
      <c r="A1320" s="104"/>
      <c r="B1320" s="104"/>
      <c r="C1320" s="105"/>
      <c r="D1320" s="105"/>
      <c r="E1320" s="105"/>
      <c r="F1320" s="105"/>
      <c r="G1320" s="106"/>
      <c r="H1320" s="105"/>
    </row>
    <row r="1321">
      <c r="A1321" s="104"/>
      <c r="B1321" s="104"/>
      <c r="C1321" s="105"/>
      <c r="D1321" s="105"/>
      <c r="E1321" s="105"/>
      <c r="F1321" s="105"/>
      <c r="G1321" s="106"/>
      <c r="H1321" s="105"/>
    </row>
    <row r="1322">
      <c r="A1322" s="104"/>
      <c r="B1322" s="104"/>
      <c r="C1322" s="105"/>
      <c r="D1322" s="105"/>
      <c r="E1322" s="105"/>
      <c r="F1322" s="105"/>
      <c r="G1322" s="106"/>
      <c r="H1322" s="105"/>
    </row>
    <row r="1323">
      <c r="A1323" s="104"/>
      <c r="B1323" s="104"/>
      <c r="C1323" s="105"/>
      <c r="D1323" s="105"/>
      <c r="E1323" s="105"/>
      <c r="F1323" s="105"/>
      <c r="G1323" s="106"/>
      <c r="H1323" s="105"/>
    </row>
    <row r="1324">
      <c r="A1324" s="104"/>
      <c r="B1324" s="104"/>
      <c r="C1324" s="105"/>
      <c r="D1324" s="105"/>
      <c r="E1324" s="105"/>
      <c r="F1324" s="105"/>
      <c r="G1324" s="106"/>
      <c r="H1324" s="105"/>
    </row>
    <row r="1325">
      <c r="A1325" s="104"/>
      <c r="B1325" s="104"/>
      <c r="C1325" s="105"/>
      <c r="D1325" s="105"/>
      <c r="E1325" s="105"/>
      <c r="F1325" s="105"/>
      <c r="G1325" s="106"/>
      <c r="H1325" s="105"/>
    </row>
    <row r="1326">
      <c r="A1326" s="104"/>
      <c r="B1326" s="104"/>
      <c r="C1326" s="105"/>
      <c r="D1326" s="105"/>
      <c r="E1326" s="105"/>
      <c r="F1326" s="105"/>
      <c r="G1326" s="106"/>
      <c r="H1326" s="105"/>
    </row>
    <row r="1327">
      <c r="A1327" s="104"/>
      <c r="B1327" s="104"/>
      <c r="C1327" s="105"/>
      <c r="D1327" s="105"/>
      <c r="E1327" s="105"/>
      <c r="F1327" s="105"/>
      <c r="G1327" s="106"/>
      <c r="H1327" s="105"/>
    </row>
    <row r="1328">
      <c r="A1328" s="104"/>
      <c r="B1328" s="104"/>
      <c r="C1328" s="105"/>
      <c r="D1328" s="105"/>
      <c r="E1328" s="105"/>
      <c r="F1328" s="105"/>
      <c r="G1328" s="106"/>
      <c r="H1328" s="105"/>
    </row>
    <row r="1329">
      <c r="A1329" s="104"/>
      <c r="B1329" s="104"/>
      <c r="C1329" s="105"/>
      <c r="D1329" s="105"/>
      <c r="E1329" s="105"/>
      <c r="F1329" s="105"/>
      <c r="G1329" s="106"/>
      <c r="H1329" s="105"/>
    </row>
    <row r="1330">
      <c r="A1330" s="104"/>
      <c r="B1330" s="104"/>
      <c r="C1330" s="105"/>
      <c r="D1330" s="105"/>
      <c r="E1330" s="105"/>
      <c r="F1330" s="105"/>
      <c r="G1330" s="106"/>
      <c r="H1330" s="105"/>
    </row>
    <row r="1331">
      <c r="A1331" s="104"/>
      <c r="B1331" s="104"/>
      <c r="C1331" s="105"/>
      <c r="D1331" s="105"/>
      <c r="E1331" s="105"/>
      <c r="F1331" s="105"/>
      <c r="G1331" s="106"/>
      <c r="H1331" s="105"/>
    </row>
    <row r="1332">
      <c r="A1332" s="104"/>
      <c r="B1332" s="104"/>
      <c r="C1332" s="105"/>
      <c r="D1332" s="105"/>
      <c r="E1332" s="105"/>
      <c r="F1332" s="105"/>
      <c r="G1332" s="106"/>
      <c r="H1332" s="105"/>
    </row>
    <row r="1333">
      <c r="A1333" s="104"/>
      <c r="B1333" s="104"/>
      <c r="C1333" s="105"/>
      <c r="D1333" s="105"/>
      <c r="E1333" s="105"/>
      <c r="F1333" s="105"/>
      <c r="G1333" s="106"/>
      <c r="H1333" s="105"/>
    </row>
    <row r="1334">
      <c r="A1334" s="104"/>
      <c r="B1334" s="104"/>
      <c r="C1334" s="105"/>
      <c r="D1334" s="105"/>
      <c r="E1334" s="105"/>
      <c r="F1334" s="105"/>
      <c r="G1334" s="106"/>
      <c r="H1334" s="105"/>
    </row>
    <row r="1335">
      <c r="A1335" s="104"/>
      <c r="B1335" s="104"/>
      <c r="C1335" s="105"/>
      <c r="D1335" s="105"/>
      <c r="E1335" s="105"/>
      <c r="F1335" s="105"/>
      <c r="G1335" s="106"/>
      <c r="H1335" s="105"/>
    </row>
    <row r="1336">
      <c r="A1336" s="104"/>
      <c r="B1336" s="104"/>
      <c r="C1336" s="105"/>
      <c r="D1336" s="105"/>
      <c r="E1336" s="105"/>
      <c r="F1336" s="105"/>
      <c r="G1336" s="106"/>
      <c r="H1336" s="105"/>
    </row>
    <row r="1337">
      <c r="A1337" s="104"/>
      <c r="B1337" s="104"/>
      <c r="C1337" s="105"/>
      <c r="D1337" s="105"/>
      <c r="E1337" s="105"/>
      <c r="F1337" s="105"/>
      <c r="G1337" s="106"/>
      <c r="H1337" s="105"/>
    </row>
    <row r="1338">
      <c r="A1338" s="104"/>
      <c r="B1338" s="104"/>
      <c r="C1338" s="105"/>
      <c r="D1338" s="105"/>
      <c r="E1338" s="105"/>
      <c r="F1338" s="105"/>
      <c r="G1338" s="106"/>
      <c r="H1338" s="105"/>
    </row>
    <row r="1339">
      <c r="A1339" s="104"/>
      <c r="B1339" s="104"/>
      <c r="C1339" s="105"/>
      <c r="D1339" s="105"/>
      <c r="E1339" s="105"/>
      <c r="F1339" s="105"/>
      <c r="G1339" s="106"/>
      <c r="H1339" s="105"/>
    </row>
    <row r="1340">
      <c r="A1340" s="104"/>
      <c r="B1340" s="104"/>
      <c r="C1340" s="105"/>
      <c r="D1340" s="105"/>
      <c r="E1340" s="105"/>
      <c r="F1340" s="105"/>
      <c r="G1340" s="106"/>
      <c r="H1340" s="105"/>
    </row>
    <row r="1341">
      <c r="A1341" s="104"/>
      <c r="B1341" s="104"/>
      <c r="C1341" s="105"/>
      <c r="D1341" s="105"/>
      <c r="E1341" s="105"/>
      <c r="F1341" s="105"/>
      <c r="G1341" s="106"/>
      <c r="H1341" s="105"/>
    </row>
    <row r="1342">
      <c r="A1342" s="104"/>
      <c r="B1342" s="104"/>
      <c r="C1342" s="105"/>
      <c r="D1342" s="105"/>
      <c r="E1342" s="105"/>
      <c r="F1342" s="105"/>
      <c r="G1342" s="106"/>
      <c r="H1342" s="105"/>
    </row>
    <row r="1343">
      <c r="A1343" s="104"/>
      <c r="B1343" s="104"/>
      <c r="C1343" s="105"/>
      <c r="D1343" s="105"/>
      <c r="E1343" s="105"/>
      <c r="F1343" s="105"/>
      <c r="G1343" s="106"/>
      <c r="H1343" s="105"/>
    </row>
    <row r="1344">
      <c r="A1344" s="104"/>
      <c r="B1344" s="104"/>
      <c r="C1344" s="105"/>
      <c r="D1344" s="105"/>
      <c r="E1344" s="105"/>
      <c r="F1344" s="105"/>
      <c r="G1344" s="106"/>
      <c r="H1344" s="105"/>
    </row>
    <row r="1345">
      <c r="A1345" s="104"/>
      <c r="B1345" s="104"/>
      <c r="C1345" s="105"/>
      <c r="D1345" s="105"/>
      <c r="E1345" s="105"/>
      <c r="F1345" s="105"/>
      <c r="G1345" s="106"/>
      <c r="H1345" s="105"/>
    </row>
    <row r="1346">
      <c r="A1346" s="104"/>
      <c r="B1346" s="104"/>
      <c r="C1346" s="105"/>
      <c r="D1346" s="105"/>
      <c r="E1346" s="105"/>
      <c r="F1346" s="105"/>
      <c r="G1346" s="106"/>
      <c r="H1346" s="105"/>
    </row>
    <row r="1347">
      <c r="A1347" s="104"/>
      <c r="B1347" s="104"/>
      <c r="C1347" s="105"/>
      <c r="D1347" s="105"/>
      <c r="E1347" s="105"/>
      <c r="F1347" s="105"/>
      <c r="G1347" s="106"/>
      <c r="H1347" s="105"/>
    </row>
    <row r="1348">
      <c r="A1348" s="104"/>
      <c r="B1348" s="104"/>
      <c r="C1348" s="105"/>
      <c r="D1348" s="105"/>
      <c r="E1348" s="105"/>
      <c r="F1348" s="105"/>
      <c r="G1348" s="106"/>
      <c r="H1348" s="105"/>
    </row>
    <row r="1349">
      <c r="A1349" s="104"/>
      <c r="B1349" s="104"/>
      <c r="C1349" s="105"/>
      <c r="D1349" s="105"/>
      <c r="E1349" s="105"/>
      <c r="F1349" s="105"/>
      <c r="G1349" s="106"/>
      <c r="H1349" s="105"/>
    </row>
    <row r="1350">
      <c r="A1350" s="104"/>
      <c r="B1350" s="104"/>
      <c r="C1350" s="105"/>
      <c r="D1350" s="105"/>
      <c r="E1350" s="105"/>
      <c r="F1350" s="105"/>
      <c r="G1350" s="106"/>
      <c r="H1350" s="105"/>
    </row>
    <row r="1351">
      <c r="A1351" s="104"/>
      <c r="B1351" s="104"/>
      <c r="C1351" s="105"/>
      <c r="D1351" s="105"/>
      <c r="E1351" s="105"/>
      <c r="F1351" s="105"/>
      <c r="G1351" s="106"/>
      <c r="H1351" s="105"/>
    </row>
    <row r="1352">
      <c r="A1352" s="104"/>
      <c r="B1352" s="104"/>
      <c r="C1352" s="105"/>
      <c r="D1352" s="105"/>
      <c r="E1352" s="105"/>
      <c r="F1352" s="105"/>
      <c r="G1352" s="106"/>
      <c r="H1352" s="105"/>
    </row>
    <row r="1353">
      <c r="A1353" s="104"/>
      <c r="B1353" s="104"/>
      <c r="C1353" s="105"/>
      <c r="D1353" s="105"/>
      <c r="E1353" s="105"/>
      <c r="F1353" s="105"/>
      <c r="G1353" s="106"/>
      <c r="H1353" s="105"/>
    </row>
    <row r="1354">
      <c r="A1354" s="104"/>
      <c r="B1354" s="104"/>
      <c r="C1354" s="105"/>
      <c r="D1354" s="105"/>
      <c r="E1354" s="105"/>
      <c r="F1354" s="105"/>
      <c r="G1354" s="106"/>
      <c r="H1354" s="105"/>
    </row>
    <row r="1355">
      <c r="A1355" s="104"/>
      <c r="B1355" s="104"/>
      <c r="C1355" s="105"/>
      <c r="D1355" s="105"/>
      <c r="E1355" s="105"/>
      <c r="F1355" s="105"/>
      <c r="G1355" s="106"/>
      <c r="H1355" s="105"/>
    </row>
    <row r="1356">
      <c r="A1356" s="104"/>
      <c r="B1356" s="104"/>
      <c r="C1356" s="105"/>
      <c r="D1356" s="105"/>
      <c r="E1356" s="105"/>
      <c r="F1356" s="105"/>
      <c r="G1356" s="106"/>
      <c r="H1356" s="105"/>
    </row>
    <row r="1357">
      <c r="A1357" s="104"/>
      <c r="B1357" s="104"/>
      <c r="C1357" s="105"/>
      <c r="D1357" s="105"/>
      <c r="E1357" s="105"/>
      <c r="F1357" s="105"/>
      <c r="G1357" s="106"/>
      <c r="H1357" s="105"/>
    </row>
    <row r="1358">
      <c r="A1358" s="104"/>
      <c r="B1358" s="104"/>
      <c r="C1358" s="105"/>
      <c r="D1358" s="105"/>
      <c r="E1358" s="105"/>
      <c r="F1358" s="105"/>
      <c r="G1358" s="106"/>
      <c r="H1358" s="105"/>
    </row>
    <row r="1359">
      <c r="A1359" s="104"/>
      <c r="B1359" s="104"/>
      <c r="C1359" s="105"/>
      <c r="D1359" s="105"/>
      <c r="E1359" s="105"/>
      <c r="F1359" s="105"/>
      <c r="G1359" s="106"/>
      <c r="H1359" s="105"/>
    </row>
    <row r="1360">
      <c r="A1360" s="104"/>
      <c r="B1360" s="104"/>
      <c r="C1360" s="105"/>
      <c r="D1360" s="105"/>
      <c r="E1360" s="105"/>
      <c r="F1360" s="105"/>
      <c r="G1360" s="106"/>
      <c r="H1360" s="105"/>
    </row>
    <row r="1361">
      <c r="A1361" s="104"/>
      <c r="B1361" s="104"/>
      <c r="C1361" s="105"/>
      <c r="D1361" s="105"/>
      <c r="E1361" s="105"/>
      <c r="F1361" s="105"/>
      <c r="G1361" s="106"/>
      <c r="H1361" s="105"/>
    </row>
    <row r="1362">
      <c r="A1362" s="104"/>
      <c r="B1362" s="104"/>
      <c r="C1362" s="105"/>
      <c r="D1362" s="105"/>
      <c r="E1362" s="105"/>
      <c r="F1362" s="105"/>
      <c r="G1362" s="106"/>
      <c r="H1362" s="105"/>
    </row>
    <row r="1363">
      <c r="A1363" s="104"/>
      <c r="B1363" s="104"/>
      <c r="C1363" s="105"/>
      <c r="D1363" s="105"/>
      <c r="E1363" s="105"/>
      <c r="F1363" s="105"/>
      <c r="G1363" s="106"/>
      <c r="H1363" s="105"/>
    </row>
    <row r="1364">
      <c r="A1364" s="104"/>
      <c r="B1364" s="104"/>
      <c r="C1364" s="105"/>
      <c r="D1364" s="105"/>
      <c r="E1364" s="105"/>
      <c r="F1364" s="105"/>
      <c r="G1364" s="106"/>
      <c r="H1364" s="105"/>
    </row>
    <row r="1365">
      <c r="A1365" s="104"/>
      <c r="B1365" s="104"/>
      <c r="C1365" s="105"/>
      <c r="D1365" s="105"/>
      <c r="E1365" s="105"/>
      <c r="F1365" s="105"/>
      <c r="G1365" s="106"/>
      <c r="H1365" s="105"/>
    </row>
    <row r="1366">
      <c r="A1366" s="104"/>
      <c r="B1366" s="104"/>
      <c r="C1366" s="105"/>
      <c r="D1366" s="105"/>
      <c r="E1366" s="105"/>
      <c r="F1366" s="105"/>
      <c r="G1366" s="106"/>
      <c r="H1366" s="105"/>
    </row>
    <row r="1367">
      <c r="A1367" s="104"/>
      <c r="B1367" s="104"/>
      <c r="C1367" s="105"/>
      <c r="D1367" s="105"/>
      <c r="E1367" s="105"/>
      <c r="F1367" s="105"/>
      <c r="G1367" s="106"/>
      <c r="H1367" s="105"/>
    </row>
    <row r="1368">
      <c r="A1368" s="104"/>
      <c r="B1368" s="104"/>
      <c r="C1368" s="105"/>
      <c r="D1368" s="105"/>
      <c r="E1368" s="105"/>
      <c r="F1368" s="105"/>
      <c r="G1368" s="106"/>
      <c r="H1368" s="105"/>
    </row>
    <row r="1369">
      <c r="A1369" s="104"/>
      <c r="B1369" s="104"/>
      <c r="C1369" s="105"/>
      <c r="D1369" s="105"/>
      <c r="E1369" s="105"/>
      <c r="F1369" s="105"/>
      <c r="G1369" s="106"/>
      <c r="H1369" s="105"/>
    </row>
    <row r="1370">
      <c r="A1370" s="104"/>
      <c r="B1370" s="104"/>
      <c r="C1370" s="105"/>
      <c r="D1370" s="105"/>
      <c r="E1370" s="105"/>
      <c r="F1370" s="105"/>
      <c r="G1370" s="106"/>
      <c r="H1370" s="105"/>
    </row>
    <row r="1371">
      <c r="A1371" s="104"/>
      <c r="B1371" s="104"/>
      <c r="C1371" s="105"/>
      <c r="D1371" s="105"/>
      <c r="E1371" s="105"/>
      <c r="F1371" s="105"/>
      <c r="G1371" s="106"/>
      <c r="H1371" s="105"/>
    </row>
    <row r="1372">
      <c r="A1372" s="104"/>
      <c r="B1372" s="104"/>
      <c r="C1372" s="105"/>
      <c r="D1372" s="105"/>
      <c r="E1372" s="105"/>
      <c r="F1372" s="105"/>
      <c r="G1372" s="106"/>
      <c r="H1372" s="105"/>
    </row>
    <row r="1373">
      <c r="A1373" s="104"/>
      <c r="B1373" s="104"/>
      <c r="C1373" s="105"/>
      <c r="D1373" s="105"/>
      <c r="E1373" s="105"/>
      <c r="F1373" s="105"/>
      <c r="G1373" s="106"/>
      <c r="H1373" s="105"/>
    </row>
    <row r="1374">
      <c r="A1374" s="104"/>
      <c r="B1374" s="104"/>
      <c r="C1374" s="105"/>
      <c r="D1374" s="105"/>
      <c r="E1374" s="105"/>
      <c r="F1374" s="105"/>
      <c r="G1374" s="106"/>
      <c r="H1374" s="105"/>
    </row>
    <row r="1375">
      <c r="A1375" s="104"/>
      <c r="B1375" s="104"/>
      <c r="C1375" s="105"/>
      <c r="D1375" s="105"/>
      <c r="E1375" s="105"/>
      <c r="F1375" s="105"/>
      <c r="G1375" s="106"/>
      <c r="H1375" s="105"/>
    </row>
    <row r="1376">
      <c r="A1376" s="104"/>
      <c r="B1376" s="104"/>
      <c r="C1376" s="105"/>
      <c r="D1376" s="105"/>
      <c r="E1376" s="105"/>
      <c r="F1376" s="105"/>
      <c r="G1376" s="106"/>
      <c r="H1376" s="105"/>
    </row>
    <row r="1377">
      <c r="A1377" s="104"/>
      <c r="B1377" s="104"/>
      <c r="C1377" s="105"/>
      <c r="D1377" s="105"/>
      <c r="E1377" s="105"/>
      <c r="F1377" s="105"/>
      <c r="G1377" s="106"/>
      <c r="H1377" s="105"/>
    </row>
    <row r="1378">
      <c r="A1378" s="104"/>
      <c r="B1378" s="104"/>
      <c r="C1378" s="105"/>
      <c r="D1378" s="105"/>
      <c r="E1378" s="105"/>
      <c r="F1378" s="105"/>
      <c r="G1378" s="106"/>
      <c r="H1378" s="105"/>
    </row>
    <row r="1379">
      <c r="A1379" s="104"/>
      <c r="B1379" s="104"/>
      <c r="C1379" s="105"/>
      <c r="D1379" s="105"/>
      <c r="E1379" s="105"/>
      <c r="F1379" s="105"/>
      <c r="G1379" s="106"/>
      <c r="H1379" s="105"/>
    </row>
    <row r="1380">
      <c r="A1380" s="104"/>
      <c r="B1380" s="104"/>
      <c r="C1380" s="105"/>
      <c r="D1380" s="105"/>
      <c r="E1380" s="105"/>
      <c r="F1380" s="105"/>
      <c r="G1380" s="106"/>
      <c r="H1380" s="105"/>
    </row>
    <row r="1381">
      <c r="A1381" s="104"/>
      <c r="B1381" s="104"/>
      <c r="C1381" s="105"/>
      <c r="D1381" s="105"/>
      <c r="E1381" s="105"/>
      <c r="F1381" s="105"/>
      <c r="G1381" s="106"/>
      <c r="H1381" s="105"/>
    </row>
    <row r="1382">
      <c r="A1382" s="104"/>
      <c r="B1382" s="104"/>
      <c r="C1382" s="105"/>
      <c r="D1382" s="105"/>
      <c r="E1382" s="105"/>
      <c r="F1382" s="105"/>
      <c r="G1382" s="106"/>
      <c r="H1382" s="105"/>
    </row>
    <row r="1383">
      <c r="A1383" s="104"/>
      <c r="B1383" s="104"/>
      <c r="C1383" s="105"/>
      <c r="D1383" s="105"/>
      <c r="E1383" s="105"/>
      <c r="F1383" s="105"/>
      <c r="G1383" s="106"/>
      <c r="H1383" s="105"/>
    </row>
    <row r="1384">
      <c r="A1384" s="104"/>
      <c r="B1384" s="104"/>
      <c r="C1384" s="105"/>
      <c r="D1384" s="105"/>
      <c r="E1384" s="105"/>
      <c r="F1384" s="105"/>
      <c r="G1384" s="106"/>
      <c r="H1384" s="105"/>
    </row>
    <row r="1385">
      <c r="A1385" s="104"/>
      <c r="B1385" s="104"/>
      <c r="C1385" s="105"/>
      <c r="D1385" s="105"/>
      <c r="E1385" s="105"/>
      <c r="F1385" s="105"/>
      <c r="G1385" s="106"/>
      <c r="H1385" s="105"/>
    </row>
    <row r="1386">
      <c r="A1386" s="104"/>
      <c r="B1386" s="104"/>
      <c r="C1386" s="105"/>
      <c r="D1386" s="105"/>
      <c r="E1386" s="105"/>
      <c r="F1386" s="105"/>
      <c r="G1386" s="106"/>
      <c r="H1386" s="105"/>
    </row>
    <row r="1387">
      <c r="A1387" s="104"/>
      <c r="B1387" s="104"/>
      <c r="C1387" s="105"/>
      <c r="D1387" s="105"/>
      <c r="E1387" s="105"/>
      <c r="F1387" s="105"/>
      <c r="G1387" s="106"/>
      <c r="H1387" s="105"/>
    </row>
    <row r="1388">
      <c r="A1388" s="104"/>
      <c r="B1388" s="104"/>
      <c r="C1388" s="105"/>
      <c r="D1388" s="105"/>
      <c r="E1388" s="105"/>
      <c r="F1388" s="105"/>
      <c r="G1388" s="106"/>
      <c r="H1388" s="105"/>
    </row>
    <row r="1389">
      <c r="A1389" s="104"/>
      <c r="B1389" s="104"/>
      <c r="C1389" s="105"/>
      <c r="D1389" s="105"/>
      <c r="E1389" s="105"/>
      <c r="F1389" s="105"/>
      <c r="G1389" s="106"/>
      <c r="H1389" s="105"/>
    </row>
    <row r="1390">
      <c r="A1390" s="104"/>
      <c r="B1390" s="104"/>
      <c r="C1390" s="105"/>
      <c r="D1390" s="105"/>
      <c r="E1390" s="105"/>
      <c r="F1390" s="105"/>
      <c r="G1390" s="106"/>
      <c r="H1390" s="105"/>
    </row>
    <row r="1391">
      <c r="A1391" s="104"/>
      <c r="B1391" s="104"/>
      <c r="C1391" s="105"/>
      <c r="D1391" s="105"/>
      <c r="E1391" s="105"/>
      <c r="F1391" s="105"/>
      <c r="G1391" s="106"/>
      <c r="H1391" s="105"/>
    </row>
    <row r="1392">
      <c r="A1392" s="104"/>
      <c r="B1392" s="104"/>
      <c r="C1392" s="105"/>
      <c r="D1392" s="105"/>
      <c r="E1392" s="105"/>
      <c r="F1392" s="105"/>
      <c r="G1392" s="106"/>
      <c r="H1392" s="105"/>
    </row>
    <row r="1393">
      <c r="A1393" s="104"/>
      <c r="B1393" s="104"/>
      <c r="C1393" s="105"/>
      <c r="D1393" s="105"/>
      <c r="E1393" s="105"/>
      <c r="F1393" s="105"/>
      <c r="G1393" s="106"/>
      <c r="H1393" s="105"/>
    </row>
    <row r="1394">
      <c r="A1394" s="104"/>
      <c r="B1394" s="104"/>
      <c r="C1394" s="105"/>
      <c r="D1394" s="105"/>
      <c r="E1394" s="105"/>
      <c r="F1394" s="105"/>
      <c r="G1394" s="106"/>
      <c r="H1394" s="105"/>
    </row>
    <row r="1395">
      <c r="A1395" s="104"/>
      <c r="B1395" s="104"/>
      <c r="C1395" s="105"/>
      <c r="D1395" s="105"/>
      <c r="E1395" s="105"/>
      <c r="F1395" s="105"/>
      <c r="G1395" s="106"/>
      <c r="H1395" s="105"/>
    </row>
    <row r="1396">
      <c r="A1396" s="104"/>
      <c r="B1396" s="104"/>
      <c r="C1396" s="105"/>
      <c r="D1396" s="105"/>
      <c r="E1396" s="105"/>
      <c r="F1396" s="105"/>
      <c r="G1396" s="106"/>
      <c r="H1396" s="105"/>
    </row>
    <row r="1397">
      <c r="A1397" s="104"/>
      <c r="B1397" s="104"/>
      <c r="C1397" s="105"/>
      <c r="D1397" s="105"/>
      <c r="E1397" s="105"/>
      <c r="F1397" s="105"/>
      <c r="G1397" s="106"/>
      <c r="H1397" s="105"/>
    </row>
    <row r="1398">
      <c r="A1398" s="104"/>
      <c r="B1398" s="104"/>
      <c r="C1398" s="105"/>
      <c r="D1398" s="105"/>
      <c r="E1398" s="105"/>
      <c r="F1398" s="105"/>
      <c r="G1398" s="106"/>
      <c r="H1398" s="105"/>
    </row>
    <row r="1399">
      <c r="A1399" s="104"/>
      <c r="B1399" s="104"/>
      <c r="C1399" s="105"/>
      <c r="D1399" s="105"/>
      <c r="E1399" s="105"/>
      <c r="F1399" s="105"/>
      <c r="G1399" s="106"/>
      <c r="H1399" s="105"/>
    </row>
    <row r="1400">
      <c r="A1400" s="104"/>
      <c r="B1400" s="104"/>
      <c r="C1400" s="105"/>
      <c r="D1400" s="105"/>
      <c r="E1400" s="105"/>
      <c r="F1400" s="105"/>
      <c r="G1400" s="106"/>
      <c r="H1400" s="105"/>
    </row>
    <row r="1401">
      <c r="A1401" s="104"/>
      <c r="B1401" s="104"/>
      <c r="C1401" s="105"/>
      <c r="D1401" s="105"/>
      <c r="E1401" s="105"/>
      <c r="F1401" s="105"/>
      <c r="G1401" s="106"/>
      <c r="H1401" s="105"/>
    </row>
    <row r="1402">
      <c r="A1402" s="104"/>
      <c r="B1402" s="104"/>
      <c r="C1402" s="105"/>
      <c r="D1402" s="105"/>
      <c r="E1402" s="105"/>
      <c r="F1402" s="105"/>
      <c r="G1402" s="106"/>
      <c r="H1402" s="105"/>
    </row>
    <row r="1403">
      <c r="A1403" s="104"/>
      <c r="B1403" s="104"/>
      <c r="C1403" s="105"/>
      <c r="D1403" s="105"/>
      <c r="E1403" s="105"/>
      <c r="F1403" s="105"/>
      <c r="G1403" s="106"/>
      <c r="H1403" s="105"/>
    </row>
    <row r="1404">
      <c r="A1404" s="104"/>
      <c r="B1404" s="104"/>
      <c r="C1404" s="105"/>
      <c r="D1404" s="105"/>
      <c r="E1404" s="105"/>
      <c r="F1404" s="105"/>
      <c r="G1404" s="106"/>
      <c r="H1404" s="105"/>
    </row>
    <row r="1405">
      <c r="A1405" s="104"/>
      <c r="B1405" s="104"/>
      <c r="C1405" s="105"/>
      <c r="D1405" s="105"/>
      <c r="E1405" s="105"/>
      <c r="F1405" s="105"/>
      <c r="G1405" s="106"/>
      <c r="H1405" s="105"/>
    </row>
    <row r="1406">
      <c r="A1406" s="104"/>
      <c r="B1406" s="104"/>
      <c r="C1406" s="105"/>
      <c r="D1406" s="105"/>
      <c r="E1406" s="105"/>
      <c r="F1406" s="105"/>
      <c r="G1406" s="106"/>
      <c r="H1406" s="105"/>
    </row>
    <row r="1407">
      <c r="A1407" s="104"/>
      <c r="B1407" s="104"/>
      <c r="C1407" s="105"/>
      <c r="D1407" s="105"/>
      <c r="E1407" s="105"/>
      <c r="F1407" s="105"/>
      <c r="G1407" s="106"/>
      <c r="H1407" s="105"/>
    </row>
    <row r="1408">
      <c r="A1408" s="104"/>
      <c r="B1408" s="104"/>
      <c r="C1408" s="105"/>
      <c r="D1408" s="105"/>
      <c r="E1408" s="105"/>
      <c r="F1408" s="105"/>
      <c r="G1408" s="106"/>
      <c r="H1408" s="105"/>
    </row>
    <row r="1409">
      <c r="A1409" s="104"/>
      <c r="B1409" s="104"/>
      <c r="C1409" s="105"/>
      <c r="D1409" s="105"/>
      <c r="E1409" s="105"/>
      <c r="F1409" s="105"/>
      <c r="G1409" s="106"/>
      <c r="H1409" s="105"/>
    </row>
    <row r="1410">
      <c r="A1410" s="104"/>
      <c r="B1410" s="104"/>
      <c r="C1410" s="105"/>
      <c r="D1410" s="105"/>
      <c r="E1410" s="105"/>
      <c r="F1410" s="105"/>
      <c r="G1410" s="106"/>
      <c r="H1410" s="105"/>
    </row>
    <row r="1411">
      <c r="A1411" s="104"/>
      <c r="B1411" s="104"/>
      <c r="C1411" s="105"/>
      <c r="D1411" s="105"/>
      <c r="E1411" s="105"/>
      <c r="F1411" s="105"/>
      <c r="G1411" s="106"/>
      <c r="H1411" s="105"/>
    </row>
    <row r="1412">
      <c r="A1412" s="104"/>
      <c r="B1412" s="104"/>
      <c r="C1412" s="105"/>
      <c r="D1412" s="105"/>
      <c r="E1412" s="105"/>
      <c r="F1412" s="105"/>
      <c r="G1412" s="106"/>
      <c r="H1412" s="105"/>
    </row>
    <row r="1413">
      <c r="A1413" s="104"/>
      <c r="B1413" s="104"/>
      <c r="C1413" s="105"/>
      <c r="D1413" s="105"/>
      <c r="E1413" s="105"/>
      <c r="F1413" s="105"/>
      <c r="G1413" s="106"/>
      <c r="H1413" s="105"/>
    </row>
    <row r="1414">
      <c r="A1414" s="104"/>
      <c r="B1414" s="104"/>
      <c r="C1414" s="105"/>
      <c r="D1414" s="105"/>
      <c r="E1414" s="105"/>
      <c r="F1414" s="105"/>
      <c r="G1414" s="106"/>
      <c r="H1414" s="105"/>
    </row>
    <row r="1415">
      <c r="A1415" s="104"/>
      <c r="B1415" s="104"/>
      <c r="C1415" s="105"/>
      <c r="D1415" s="105"/>
      <c r="E1415" s="105"/>
      <c r="F1415" s="105"/>
      <c r="G1415" s="106"/>
      <c r="H1415" s="105"/>
    </row>
    <row r="1416">
      <c r="A1416" s="104"/>
      <c r="B1416" s="104"/>
      <c r="C1416" s="105"/>
      <c r="D1416" s="105"/>
      <c r="E1416" s="105"/>
      <c r="F1416" s="105"/>
      <c r="G1416" s="106"/>
      <c r="H1416" s="105"/>
    </row>
    <row r="1417">
      <c r="A1417" s="104"/>
      <c r="B1417" s="104"/>
      <c r="C1417" s="105"/>
      <c r="D1417" s="105"/>
      <c r="E1417" s="105"/>
      <c r="F1417" s="105"/>
      <c r="G1417" s="106"/>
      <c r="H1417" s="105"/>
    </row>
    <row r="1418">
      <c r="A1418" s="104"/>
      <c r="B1418" s="104"/>
      <c r="C1418" s="105"/>
      <c r="D1418" s="105"/>
      <c r="E1418" s="105"/>
      <c r="F1418" s="105"/>
      <c r="G1418" s="106"/>
      <c r="H1418" s="105"/>
    </row>
    <row r="1419">
      <c r="A1419" s="104"/>
      <c r="B1419" s="104"/>
      <c r="C1419" s="105"/>
      <c r="D1419" s="105"/>
      <c r="E1419" s="105"/>
      <c r="F1419" s="105"/>
      <c r="G1419" s="106"/>
      <c r="H1419" s="105"/>
    </row>
    <row r="1420">
      <c r="A1420" s="104"/>
      <c r="B1420" s="104"/>
      <c r="C1420" s="105"/>
      <c r="D1420" s="105"/>
      <c r="E1420" s="105"/>
      <c r="F1420" s="105"/>
      <c r="G1420" s="106"/>
      <c r="H1420" s="105"/>
    </row>
    <row r="1421">
      <c r="A1421" s="104"/>
      <c r="B1421" s="104"/>
      <c r="C1421" s="105"/>
      <c r="D1421" s="105"/>
      <c r="E1421" s="105"/>
      <c r="F1421" s="105"/>
      <c r="G1421" s="106"/>
      <c r="H1421" s="105"/>
    </row>
    <row r="1422">
      <c r="A1422" s="104"/>
      <c r="B1422" s="104"/>
      <c r="C1422" s="105"/>
      <c r="D1422" s="105"/>
      <c r="E1422" s="105"/>
      <c r="F1422" s="105"/>
      <c r="G1422" s="106"/>
      <c r="H1422" s="105"/>
    </row>
    <row r="1423">
      <c r="A1423" s="104"/>
      <c r="B1423" s="104"/>
      <c r="C1423" s="105"/>
      <c r="D1423" s="105"/>
      <c r="E1423" s="105"/>
      <c r="F1423" s="105"/>
      <c r="G1423" s="106"/>
      <c r="H1423" s="105"/>
    </row>
    <row r="1424">
      <c r="A1424" s="104"/>
      <c r="B1424" s="104"/>
      <c r="C1424" s="105"/>
      <c r="D1424" s="105"/>
      <c r="E1424" s="105"/>
      <c r="F1424" s="105"/>
      <c r="G1424" s="106"/>
      <c r="H1424" s="105"/>
    </row>
    <row r="1425">
      <c r="A1425" s="104"/>
      <c r="B1425" s="104"/>
      <c r="C1425" s="105"/>
      <c r="D1425" s="105"/>
      <c r="E1425" s="105"/>
      <c r="F1425" s="105"/>
      <c r="G1425" s="106"/>
      <c r="H1425" s="105"/>
    </row>
    <row r="1426">
      <c r="A1426" s="104"/>
      <c r="B1426" s="104"/>
      <c r="C1426" s="105"/>
      <c r="D1426" s="105"/>
      <c r="E1426" s="105"/>
      <c r="F1426" s="105"/>
      <c r="G1426" s="106"/>
      <c r="H1426" s="105"/>
    </row>
    <row r="1427">
      <c r="A1427" s="104"/>
      <c r="B1427" s="104"/>
      <c r="C1427" s="105"/>
      <c r="D1427" s="105"/>
      <c r="E1427" s="105"/>
      <c r="F1427" s="105"/>
      <c r="G1427" s="106"/>
      <c r="H1427" s="105"/>
    </row>
    <row r="1428">
      <c r="A1428" s="104"/>
      <c r="B1428" s="104"/>
      <c r="C1428" s="105"/>
      <c r="D1428" s="105"/>
      <c r="E1428" s="105"/>
      <c r="F1428" s="105"/>
      <c r="G1428" s="106"/>
      <c r="H1428" s="105"/>
    </row>
    <row r="1429">
      <c r="A1429" s="104"/>
      <c r="B1429" s="104"/>
      <c r="C1429" s="105"/>
      <c r="D1429" s="105"/>
      <c r="E1429" s="105"/>
      <c r="F1429" s="105"/>
      <c r="G1429" s="106"/>
      <c r="H1429" s="105"/>
    </row>
    <row r="1430">
      <c r="A1430" s="104"/>
      <c r="B1430" s="104"/>
      <c r="C1430" s="105"/>
      <c r="D1430" s="105"/>
      <c r="E1430" s="105"/>
      <c r="F1430" s="105"/>
      <c r="G1430" s="106"/>
      <c r="H1430" s="105"/>
    </row>
    <row r="1431">
      <c r="A1431" s="104"/>
      <c r="B1431" s="104"/>
      <c r="C1431" s="105"/>
      <c r="D1431" s="105"/>
      <c r="E1431" s="105"/>
      <c r="F1431" s="105"/>
      <c r="G1431" s="106"/>
      <c r="H1431" s="105"/>
    </row>
    <row r="1432">
      <c r="A1432" s="104"/>
      <c r="B1432" s="104"/>
      <c r="C1432" s="105"/>
      <c r="D1432" s="105"/>
      <c r="E1432" s="105"/>
      <c r="F1432" s="105"/>
      <c r="G1432" s="106"/>
      <c r="H1432" s="105"/>
    </row>
    <row r="1433">
      <c r="A1433" s="104"/>
      <c r="B1433" s="104"/>
      <c r="C1433" s="105"/>
      <c r="D1433" s="105"/>
      <c r="E1433" s="105"/>
      <c r="F1433" s="105"/>
      <c r="G1433" s="106"/>
      <c r="H1433" s="105"/>
    </row>
    <row r="1434">
      <c r="A1434" s="104"/>
      <c r="B1434" s="104"/>
      <c r="C1434" s="105"/>
      <c r="D1434" s="105"/>
      <c r="E1434" s="105"/>
      <c r="F1434" s="105"/>
      <c r="G1434" s="106"/>
      <c r="H1434" s="105"/>
    </row>
    <row r="1435">
      <c r="A1435" s="104"/>
      <c r="B1435" s="104"/>
      <c r="C1435" s="105"/>
      <c r="D1435" s="105"/>
      <c r="E1435" s="105"/>
      <c r="F1435" s="105"/>
      <c r="G1435" s="106"/>
      <c r="H1435" s="105"/>
    </row>
    <row r="1436">
      <c r="A1436" s="104"/>
      <c r="B1436" s="104"/>
      <c r="C1436" s="105"/>
      <c r="D1436" s="105"/>
      <c r="E1436" s="105"/>
      <c r="F1436" s="105"/>
      <c r="G1436" s="106"/>
      <c r="H1436" s="105"/>
    </row>
    <row r="1437">
      <c r="A1437" s="104"/>
      <c r="B1437" s="104"/>
      <c r="C1437" s="105"/>
      <c r="D1437" s="105"/>
      <c r="E1437" s="105"/>
      <c r="F1437" s="105"/>
      <c r="G1437" s="106"/>
      <c r="H1437" s="105"/>
    </row>
    <row r="1438">
      <c r="A1438" s="104"/>
      <c r="B1438" s="104"/>
      <c r="C1438" s="105"/>
      <c r="D1438" s="105"/>
      <c r="E1438" s="105"/>
      <c r="F1438" s="105"/>
      <c r="G1438" s="106"/>
      <c r="H1438" s="105"/>
    </row>
    <row r="1439">
      <c r="A1439" s="104"/>
      <c r="B1439" s="104"/>
      <c r="C1439" s="105"/>
      <c r="D1439" s="105"/>
      <c r="E1439" s="105"/>
      <c r="F1439" s="105"/>
      <c r="G1439" s="106"/>
      <c r="H1439" s="105"/>
    </row>
    <row r="1440">
      <c r="A1440" s="104"/>
      <c r="B1440" s="104"/>
      <c r="C1440" s="105"/>
      <c r="D1440" s="105"/>
      <c r="E1440" s="105"/>
      <c r="F1440" s="105"/>
      <c r="G1440" s="106"/>
      <c r="H1440" s="105"/>
    </row>
    <row r="1441">
      <c r="A1441" s="104"/>
      <c r="B1441" s="104"/>
      <c r="C1441" s="105"/>
      <c r="D1441" s="105"/>
      <c r="E1441" s="105"/>
      <c r="F1441" s="105"/>
      <c r="G1441" s="106"/>
      <c r="H1441" s="105"/>
    </row>
    <row r="1442">
      <c r="A1442" s="104"/>
      <c r="B1442" s="104"/>
      <c r="C1442" s="105"/>
      <c r="D1442" s="105"/>
      <c r="E1442" s="105"/>
      <c r="F1442" s="105"/>
      <c r="G1442" s="106"/>
      <c r="H1442" s="105"/>
    </row>
    <row r="1443">
      <c r="A1443" s="104"/>
      <c r="B1443" s="104"/>
      <c r="C1443" s="105"/>
      <c r="D1443" s="105"/>
      <c r="E1443" s="105"/>
      <c r="F1443" s="105"/>
      <c r="G1443" s="106"/>
      <c r="H1443" s="105"/>
    </row>
    <row r="1444">
      <c r="A1444" s="104"/>
      <c r="B1444" s="104"/>
      <c r="C1444" s="105"/>
      <c r="D1444" s="105"/>
      <c r="E1444" s="105"/>
      <c r="F1444" s="105"/>
      <c r="G1444" s="106"/>
      <c r="H1444" s="105"/>
    </row>
    <row r="1445">
      <c r="A1445" s="104"/>
      <c r="B1445" s="104"/>
      <c r="C1445" s="105"/>
      <c r="D1445" s="105"/>
      <c r="E1445" s="105"/>
      <c r="F1445" s="105"/>
      <c r="G1445" s="106"/>
      <c r="H1445" s="105"/>
    </row>
    <row r="1446">
      <c r="A1446" s="104"/>
      <c r="B1446" s="104"/>
      <c r="C1446" s="105"/>
      <c r="D1446" s="105"/>
      <c r="E1446" s="105"/>
      <c r="F1446" s="105"/>
      <c r="G1446" s="106"/>
      <c r="H1446" s="105"/>
    </row>
    <row r="1447">
      <c r="A1447" s="104"/>
      <c r="B1447" s="104"/>
      <c r="C1447" s="105"/>
      <c r="D1447" s="105"/>
      <c r="E1447" s="105"/>
      <c r="F1447" s="105"/>
      <c r="G1447" s="106"/>
      <c r="H1447" s="105"/>
    </row>
    <row r="1448">
      <c r="A1448" s="104"/>
      <c r="B1448" s="104"/>
      <c r="C1448" s="105"/>
      <c r="D1448" s="105"/>
      <c r="E1448" s="105"/>
      <c r="F1448" s="105"/>
      <c r="G1448" s="106"/>
      <c r="H1448" s="105"/>
    </row>
    <row r="1449">
      <c r="A1449" s="104"/>
      <c r="B1449" s="104"/>
      <c r="C1449" s="105"/>
      <c r="D1449" s="105"/>
      <c r="E1449" s="105"/>
      <c r="F1449" s="105"/>
      <c r="G1449" s="106"/>
      <c r="H1449" s="105"/>
    </row>
    <row r="1450">
      <c r="A1450" s="104"/>
      <c r="B1450" s="104"/>
      <c r="C1450" s="105"/>
      <c r="D1450" s="105"/>
      <c r="E1450" s="105"/>
      <c r="F1450" s="105"/>
      <c r="G1450" s="106"/>
      <c r="H1450" s="105"/>
    </row>
    <row r="1451">
      <c r="A1451" s="104"/>
      <c r="B1451" s="104"/>
      <c r="C1451" s="105"/>
      <c r="D1451" s="105"/>
      <c r="E1451" s="105"/>
      <c r="F1451" s="105"/>
      <c r="G1451" s="106"/>
      <c r="H1451" s="105"/>
    </row>
    <row r="1452">
      <c r="A1452" s="104"/>
      <c r="B1452" s="104"/>
      <c r="C1452" s="105"/>
      <c r="D1452" s="105"/>
      <c r="E1452" s="105"/>
      <c r="F1452" s="105"/>
      <c r="G1452" s="106"/>
      <c r="H1452" s="105"/>
    </row>
    <row r="1453">
      <c r="A1453" s="104"/>
      <c r="B1453" s="104"/>
      <c r="C1453" s="105"/>
      <c r="D1453" s="105"/>
      <c r="E1453" s="105"/>
      <c r="F1453" s="105"/>
      <c r="G1453" s="106"/>
      <c r="H1453" s="105"/>
    </row>
    <row r="1454">
      <c r="A1454" s="104"/>
      <c r="B1454" s="104"/>
      <c r="C1454" s="105"/>
      <c r="D1454" s="105"/>
      <c r="E1454" s="105"/>
      <c r="F1454" s="105"/>
      <c r="G1454" s="106"/>
      <c r="H1454" s="105"/>
    </row>
    <row r="1455">
      <c r="A1455" s="104"/>
      <c r="B1455" s="104"/>
      <c r="C1455" s="105"/>
      <c r="D1455" s="105"/>
      <c r="E1455" s="105"/>
      <c r="F1455" s="105"/>
      <c r="G1455" s="106"/>
      <c r="H1455" s="105"/>
    </row>
    <row r="1456">
      <c r="A1456" s="104"/>
      <c r="B1456" s="104"/>
      <c r="C1456" s="105"/>
      <c r="D1456" s="105"/>
      <c r="E1456" s="105"/>
      <c r="F1456" s="105"/>
      <c r="G1456" s="106"/>
      <c r="H1456" s="105"/>
    </row>
    <row r="1457">
      <c r="A1457" s="104"/>
      <c r="B1457" s="104"/>
      <c r="C1457" s="105"/>
      <c r="D1457" s="105"/>
      <c r="E1457" s="105"/>
      <c r="F1457" s="105"/>
      <c r="G1457" s="106"/>
      <c r="H1457" s="105"/>
    </row>
    <row r="1458">
      <c r="A1458" s="104"/>
      <c r="B1458" s="104"/>
      <c r="C1458" s="105"/>
      <c r="D1458" s="105"/>
      <c r="E1458" s="105"/>
      <c r="F1458" s="105"/>
      <c r="G1458" s="106"/>
      <c r="H1458" s="105"/>
    </row>
    <row r="1459">
      <c r="A1459" s="104"/>
      <c r="B1459" s="104"/>
      <c r="C1459" s="105"/>
      <c r="D1459" s="105"/>
      <c r="E1459" s="105"/>
      <c r="F1459" s="105"/>
      <c r="G1459" s="106"/>
      <c r="H1459" s="105"/>
    </row>
    <row r="1460">
      <c r="A1460" s="104"/>
      <c r="B1460" s="104"/>
      <c r="C1460" s="105"/>
      <c r="D1460" s="105"/>
      <c r="E1460" s="105"/>
      <c r="F1460" s="105"/>
      <c r="G1460" s="106"/>
      <c r="H1460" s="105"/>
    </row>
    <row r="1461">
      <c r="A1461" s="104"/>
      <c r="B1461" s="104"/>
      <c r="C1461" s="105"/>
      <c r="D1461" s="105"/>
      <c r="E1461" s="105"/>
      <c r="F1461" s="105"/>
      <c r="G1461" s="106"/>
      <c r="H1461" s="105"/>
    </row>
    <row r="1462">
      <c r="A1462" s="104"/>
      <c r="B1462" s="104"/>
      <c r="C1462" s="105"/>
      <c r="D1462" s="105"/>
      <c r="E1462" s="105"/>
      <c r="F1462" s="105"/>
      <c r="G1462" s="106"/>
      <c r="H1462" s="105"/>
    </row>
    <row r="1463">
      <c r="A1463" s="104"/>
      <c r="B1463" s="104"/>
      <c r="C1463" s="105"/>
      <c r="D1463" s="105"/>
      <c r="E1463" s="105"/>
      <c r="F1463" s="105"/>
      <c r="G1463" s="106"/>
      <c r="H1463" s="105"/>
    </row>
    <row r="1464">
      <c r="A1464" s="104"/>
      <c r="B1464" s="104"/>
      <c r="C1464" s="105"/>
      <c r="D1464" s="105"/>
      <c r="E1464" s="105"/>
      <c r="F1464" s="105"/>
      <c r="G1464" s="106"/>
      <c r="H1464" s="105"/>
    </row>
    <row r="1465">
      <c r="A1465" s="104"/>
      <c r="B1465" s="104"/>
      <c r="C1465" s="105"/>
      <c r="D1465" s="105"/>
      <c r="E1465" s="105"/>
      <c r="F1465" s="105"/>
      <c r="G1465" s="106"/>
      <c r="H1465" s="105"/>
    </row>
    <row r="1466">
      <c r="A1466" s="104"/>
      <c r="B1466" s="104"/>
      <c r="C1466" s="105"/>
      <c r="D1466" s="105"/>
      <c r="E1466" s="105"/>
      <c r="F1466" s="105"/>
      <c r="G1466" s="106"/>
      <c r="H1466" s="105"/>
    </row>
    <row r="1467">
      <c r="A1467" s="104"/>
      <c r="B1467" s="104"/>
      <c r="C1467" s="105"/>
      <c r="D1467" s="105"/>
      <c r="E1467" s="105"/>
      <c r="F1467" s="105"/>
      <c r="G1467" s="106"/>
      <c r="H1467" s="105"/>
    </row>
    <row r="1468">
      <c r="A1468" s="104"/>
      <c r="B1468" s="104"/>
      <c r="C1468" s="105"/>
      <c r="D1468" s="105"/>
      <c r="E1468" s="105"/>
      <c r="F1468" s="105"/>
      <c r="G1468" s="106"/>
      <c r="H1468" s="105"/>
    </row>
    <row r="1469">
      <c r="A1469" s="104"/>
      <c r="B1469" s="104"/>
      <c r="C1469" s="105"/>
      <c r="D1469" s="105"/>
      <c r="E1469" s="105"/>
      <c r="F1469" s="105"/>
      <c r="G1469" s="106"/>
      <c r="H1469" s="105"/>
    </row>
    <row r="1470">
      <c r="A1470" s="104"/>
      <c r="B1470" s="104"/>
      <c r="C1470" s="105"/>
      <c r="D1470" s="105"/>
      <c r="E1470" s="105"/>
      <c r="F1470" s="105"/>
      <c r="G1470" s="106"/>
      <c r="H1470" s="105"/>
    </row>
    <row r="1471">
      <c r="A1471" s="104"/>
      <c r="B1471" s="104"/>
      <c r="C1471" s="105"/>
      <c r="D1471" s="105"/>
      <c r="E1471" s="105"/>
      <c r="F1471" s="105"/>
      <c r="G1471" s="106"/>
      <c r="H1471" s="105"/>
    </row>
    <row r="1472">
      <c r="A1472" s="104"/>
      <c r="B1472" s="104"/>
      <c r="C1472" s="105"/>
      <c r="D1472" s="105"/>
      <c r="E1472" s="105"/>
      <c r="F1472" s="105"/>
      <c r="G1472" s="106"/>
      <c r="H1472" s="105"/>
    </row>
    <row r="1473">
      <c r="A1473" s="104"/>
      <c r="B1473" s="104"/>
      <c r="C1473" s="105"/>
      <c r="D1473" s="105"/>
      <c r="E1473" s="105"/>
      <c r="F1473" s="105"/>
      <c r="G1473" s="106"/>
      <c r="H1473" s="105"/>
    </row>
    <row r="1474">
      <c r="A1474" s="104"/>
      <c r="B1474" s="104"/>
      <c r="C1474" s="105"/>
      <c r="D1474" s="105"/>
      <c r="E1474" s="105"/>
      <c r="F1474" s="105"/>
      <c r="G1474" s="106"/>
      <c r="H1474" s="105"/>
    </row>
    <row r="1475">
      <c r="A1475" s="104"/>
      <c r="B1475" s="104"/>
      <c r="C1475" s="105"/>
      <c r="D1475" s="105"/>
      <c r="E1475" s="105"/>
      <c r="F1475" s="105"/>
      <c r="G1475" s="106"/>
      <c r="H1475" s="105"/>
    </row>
    <row r="1476">
      <c r="A1476" s="104"/>
      <c r="B1476" s="104"/>
      <c r="C1476" s="105"/>
      <c r="D1476" s="105"/>
      <c r="E1476" s="105"/>
      <c r="F1476" s="105"/>
      <c r="G1476" s="106"/>
      <c r="H1476" s="105"/>
    </row>
    <row r="1477">
      <c r="A1477" s="104"/>
      <c r="B1477" s="104"/>
      <c r="C1477" s="105"/>
      <c r="D1477" s="105"/>
      <c r="E1477" s="105"/>
      <c r="F1477" s="105"/>
      <c r="G1477" s="106"/>
      <c r="H1477" s="105"/>
    </row>
    <row r="1478">
      <c r="A1478" s="104"/>
      <c r="B1478" s="104"/>
      <c r="C1478" s="105"/>
      <c r="D1478" s="105"/>
      <c r="E1478" s="105"/>
      <c r="F1478" s="105"/>
      <c r="G1478" s="106"/>
      <c r="H1478" s="105"/>
    </row>
    <row r="1479">
      <c r="A1479" s="104"/>
      <c r="B1479" s="104"/>
      <c r="C1479" s="105"/>
      <c r="D1479" s="105"/>
      <c r="E1479" s="105"/>
      <c r="F1479" s="105"/>
      <c r="G1479" s="106"/>
      <c r="H1479" s="105"/>
    </row>
    <row r="1480">
      <c r="A1480" s="104"/>
      <c r="B1480" s="104"/>
      <c r="C1480" s="105"/>
      <c r="D1480" s="105"/>
      <c r="E1480" s="105"/>
      <c r="F1480" s="105"/>
      <c r="G1480" s="106"/>
      <c r="H1480" s="105"/>
    </row>
    <row r="1481">
      <c r="A1481" s="104"/>
      <c r="B1481" s="104"/>
      <c r="C1481" s="105"/>
      <c r="D1481" s="105"/>
      <c r="E1481" s="105"/>
      <c r="F1481" s="105"/>
      <c r="G1481" s="106"/>
      <c r="H1481" s="105"/>
    </row>
    <row r="1482">
      <c r="A1482" s="104"/>
      <c r="B1482" s="104"/>
      <c r="C1482" s="105"/>
      <c r="D1482" s="105"/>
      <c r="E1482" s="105"/>
      <c r="F1482" s="105"/>
      <c r="G1482" s="106"/>
      <c r="H1482" s="105"/>
    </row>
    <row r="1483">
      <c r="A1483" s="104"/>
      <c r="B1483" s="104"/>
      <c r="C1483" s="105"/>
      <c r="D1483" s="105"/>
      <c r="E1483" s="105"/>
      <c r="F1483" s="105"/>
      <c r="G1483" s="106"/>
      <c r="H1483" s="105"/>
    </row>
    <row r="1484">
      <c r="A1484" s="104"/>
      <c r="B1484" s="104"/>
      <c r="C1484" s="105"/>
      <c r="D1484" s="105"/>
      <c r="E1484" s="105"/>
      <c r="F1484" s="105"/>
      <c r="G1484" s="106"/>
      <c r="H1484" s="105"/>
    </row>
    <row r="1485">
      <c r="A1485" s="104"/>
      <c r="B1485" s="104"/>
      <c r="C1485" s="105"/>
      <c r="D1485" s="105"/>
      <c r="E1485" s="105"/>
      <c r="F1485" s="105"/>
      <c r="G1485" s="106"/>
      <c r="H1485" s="105"/>
    </row>
    <row r="1486">
      <c r="A1486" s="104"/>
      <c r="B1486" s="104"/>
      <c r="C1486" s="105"/>
      <c r="D1486" s="105"/>
      <c r="E1486" s="105"/>
      <c r="F1486" s="105"/>
      <c r="G1486" s="106"/>
      <c r="H1486" s="105"/>
    </row>
    <row r="1487">
      <c r="A1487" s="104"/>
      <c r="B1487" s="104"/>
      <c r="C1487" s="105"/>
      <c r="D1487" s="105"/>
      <c r="E1487" s="105"/>
      <c r="F1487" s="105"/>
      <c r="G1487" s="106"/>
      <c r="H1487" s="105"/>
    </row>
    <row r="1488">
      <c r="A1488" s="104"/>
      <c r="B1488" s="104"/>
      <c r="C1488" s="105"/>
      <c r="D1488" s="105"/>
      <c r="E1488" s="105"/>
      <c r="F1488" s="105"/>
      <c r="G1488" s="106"/>
      <c r="H1488" s="105"/>
    </row>
    <row r="1489">
      <c r="A1489" s="104"/>
      <c r="B1489" s="104"/>
      <c r="C1489" s="105"/>
      <c r="D1489" s="105"/>
      <c r="E1489" s="105"/>
      <c r="F1489" s="105"/>
      <c r="G1489" s="106"/>
      <c r="H1489" s="105"/>
    </row>
    <row r="1490">
      <c r="A1490" s="104"/>
      <c r="B1490" s="104"/>
      <c r="C1490" s="105"/>
      <c r="D1490" s="105"/>
      <c r="E1490" s="105"/>
      <c r="F1490" s="105"/>
      <c r="G1490" s="106"/>
      <c r="H1490" s="105"/>
    </row>
    <row r="1491">
      <c r="A1491" s="104"/>
      <c r="B1491" s="104"/>
      <c r="C1491" s="105"/>
      <c r="D1491" s="105"/>
      <c r="E1491" s="105"/>
      <c r="F1491" s="105"/>
      <c r="G1491" s="106"/>
      <c r="H1491" s="105"/>
    </row>
    <row r="1492">
      <c r="A1492" s="104"/>
      <c r="B1492" s="104"/>
      <c r="C1492" s="105"/>
      <c r="D1492" s="105"/>
      <c r="E1492" s="105"/>
      <c r="F1492" s="105"/>
      <c r="G1492" s="106"/>
      <c r="H1492" s="105"/>
    </row>
    <row r="1493">
      <c r="A1493" s="104"/>
      <c r="B1493" s="104"/>
      <c r="C1493" s="105"/>
      <c r="D1493" s="105"/>
      <c r="E1493" s="105"/>
      <c r="F1493" s="105"/>
      <c r="G1493" s="106"/>
      <c r="H1493" s="105"/>
    </row>
    <row r="1494">
      <c r="A1494" s="104"/>
      <c r="B1494" s="104"/>
      <c r="C1494" s="105"/>
      <c r="D1494" s="105"/>
      <c r="E1494" s="105"/>
      <c r="F1494" s="105"/>
      <c r="G1494" s="106"/>
      <c r="H1494" s="105"/>
    </row>
    <row r="1495">
      <c r="A1495" s="104"/>
      <c r="B1495" s="104"/>
      <c r="C1495" s="105"/>
      <c r="D1495" s="105"/>
      <c r="E1495" s="105"/>
      <c r="F1495" s="105"/>
      <c r="G1495" s="106"/>
      <c r="H1495" s="105"/>
    </row>
    <row r="1496">
      <c r="A1496" s="104"/>
      <c r="B1496" s="104"/>
      <c r="C1496" s="105"/>
      <c r="D1496" s="105"/>
      <c r="E1496" s="105"/>
      <c r="F1496" s="105"/>
      <c r="G1496" s="106"/>
      <c r="H1496" s="105"/>
    </row>
    <row r="1497">
      <c r="A1497" s="104"/>
      <c r="B1497" s="104"/>
      <c r="C1497" s="105"/>
      <c r="D1497" s="105"/>
      <c r="E1497" s="105"/>
      <c r="F1497" s="105"/>
      <c r="G1497" s="106"/>
      <c r="H1497" s="105"/>
    </row>
    <row r="1498">
      <c r="A1498" s="104"/>
      <c r="B1498" s="104"/>
      <c r="C1498" s="105"/>
      <c r="D1498" s="105"/>
      <c r="E1498" s="105"/>
      <c r="F1498" s="105"/>
      <c r="G1498" s="106"/>
      <c r="H1498" s="105"/>
    </row>
    <row r="1499">
      <c r="A1499" s="104"/>
      <c r="B1499" s="104"/>
      <c r="C1499" s="105"/>
      <c r="D1499" s="105"/>
      <c r="E1499" s="105"/>
      <c r="F1499" s="105"/>
      <c r="G1499" s="106"/>
      <c r="H1499" s="105"/>
    </row>
    <row r="1500">
      <c r="A1500" s="104"/>
      <c r="B1500" s="104"/>
      <c r="C1500" s="105"/>
      <c r="D1500" s="105"/>
      <c r="E1500" s="105"/>
      <c r="F1500" s="105"/>
      <c r="G1500" s="106"/>
      <c r="H1500" s="105"/>
    </row>
    <row r="1501">
      <c r="A1501" s="104"/>
      <c r="B1501" s="104"/>
      <c r="C1501" s="105"/>
      <c r="D1501" s="105"/>
      <c r="E1501" s="105"/>
      <c r="F1501" s="105"/>
      <c r="G1501" s="106"/>
      <c r="H1501" s="105"/>
    </row>
    <row r="1502">
      <c r="A1502" s="104"/>
      <c r="B1502" s="104"/>
      <c r="C1502" s="105"/>
      <c r="D1502" s="105"/>
      <c r="E1502" s="105"/>
      <c r="F1502" s="105"/>
      <c r="G1502" s="106"/>
      <c r="H1502" s="105"/>
    </row>
    <row r="1503">
      <c r="A1503" s="104"/>
      <c r="B1503" s="104"/>
      <c r="C1503" s="105"/>
      <c r="D1503" s="105"/>
      <c r="E1503" s="105"/>
      <c r="F1503" s="105"/>
      <c r="G1503" s="106"/>
      <c r="H1503" s="105"/>
    </row>
    <row r="1504">
      <c r="A1504" s="104"/>
      <c r="B1504" s="104"/>
      <c r="C1504" s="105"/>
      <c r="D1504" s="105"/>
      <c r="E1504" s="105"/>
      <c r="F1504" s="105"/>
      <c r="G1504" s="106"/>
      <c r="H1504" s="105"/>
    </row>
    <row r="1505">
      <c r="A1505" s="104"/>
      <c r="B1505" s="104"/>
      <c r="C1505" s="105"/>
      <c r="D1505" s="105"/>
      <c r="E1505" s="105"/>
      <c r="F1505" s="105"/>
      <c r="G1505" s="106"/>
      <c r="H1505" s="105"/>
    </row>
    <row r="1506">
      <c r="A1506" s="104"/>
      <c r="B1506" s="104"/>
      <c r="C1506" s="105"/>
      <c r="D1506" s="105"/>
      <c r="E1506" s="105"/>
      <c r="F1506" s="105"/>
      <c r="G1506" s="106"/>
      <c r="H1506" s="105"/>
    </row>
    <row r="1507">
      <c r="A1507" s="104"/>
      <c r="B1507" s="104"/>
      <c r="C1507" s="105"/>
      <c r="D1507" s="105"/>
      <c r="E1507" s="105"/>
      <c r="F1507" s="105"/>
      <c r="G1507" s="106"/>
      <c r="H1507" s="105"/>
    </row>
    <row r="1508">
      <c r="A1508" s="104"/>
      <c r="B1508" s="104"/>
      <c r="C1508" s="105"/>
      <c r="D1508" s="105"/>
      <c r="E1508" s="105"/>
      <c r="F1508" s="105"/>
      <c r="G1508" s="106"/>
      <c r="H1508" s="105"/>
    </row>
    <row r="1509">
      <c r="A1509" s="104"/>
      <c r="B1509" s="104"/>
      <c r="C1509" s="105"/>
      <c r="D1509" s="105"/>
      <c r="E1509" s="105"/>
      <c r="F1509" s="105"/>
      <c r="G1509" s="106"/>
      <c r="H1509" s="105"/>
    </row>
    <row r="1510">
      <c r="A1510" s="104"/>
      <c r="B1510" s="104"/>
      <c r="C1510" s="105"/>
      <c r="D1510" s="105"/>
      <c r="E1510" s="105"/>
      <c r="F1510" s="105"/>
      <c r="G1510" s="106"/>
      <c r="H1510" s="105"/>
    </row>
    <row r="1511">
      <c r="A1511" s="104"/>
      <c r="B1511" s="104"/>
      <c r="C1511" s="105"/>
      <c r="D1511" s="105"/>
      <c r="E1511" s="105"/>
      <c r="F1511" s="105"/>
      <c r="G1511" s="106"/>
      <c r="H1511" s="105"/>
    </row>
    <row r="1512">
      <c r="A1512" s="104"/>
      <c r="B1512" s="104"/>
      <c r="C1512" s="105"/>
      <c r="D1512" s="105"/>
      <c r="E1512" s="105"/>
      <c r="F1512" s="105"/>
      <c r="G1512" s="106"/>
      <c r="H1512" s="105"/>
    </row>
    <row r="1513">
      <c r="A1513" s="104"/>
      <c r="B1513" s="104"/>
      <c r="C1513" s="105"/>
      <c r="D1513" s="105"/>
      <c r="E1513" s="105"/>
      <c r="F1513" s="105"/>
      <c r="G1513" s="106"/>
      <c r="H1513" s="105"/>
    </row>
    <row r="1514">
      <c r="A1514" s="104"/>
      <c r="B1514" s="104"/>
      <c r="C1514" s="105"/>
      <c r="D1514" s="105"/>
      <c r="E1514" s="105"/>
      <c r="F1514" s="105"/>
      <c r="G1514" s="106"/>
      <c r="H1514" s="105"/>
    </row>
    <row r="1515">
      <c r="A1515" s="104"/>
      <c r="B1515" s="104"/>
      <c r="C1515" s="105"/>
      <c r="D1515" s="105"/>
      <c r="E1515" s="105"/>
      <c r="F1515" s="105"/>
      <c r="G1515" s="106"/>
      <c r="H1515" s="105"/>
    </row>
    <row r="1516">
      <c r="A1516" s="104"/>
      <c r="B1516" s="104"/>
      <c r="C1516" s="105"/>
      <c r="D1516" s="105"/>
      <c r="E1516" s="105"/>
      <c r="F1516" s="105"/>
      <c r="G1516" s="106"/>
      <c r="H1516" s="105"/>
    </row>
    <row r="1517">
      <c r="A1517" s="104"/>
      <c r="B1517" s="104"/>
      <c r="C1517" s="105"/>
      <c r="D1517" s="105"/>
      <c r="E1517" s="105"/>
      <c r="F1517" s="105"/>
      <c r="G1517" s="106"/>
      <c r="H1517" s="105"/>
    </row>
    <row r="1518">
      <c r="A1518" s="104"/>
      <c r="B1518" s="104"/>
      <c r="C1518" s="105"/>
      <c r="D1518" s="105"/>
      <c r="E1518" s="105"/>
      <c r="F1518" s="105"/>
      <c r="G1518" s="106"/>
      <c r="H1518" s="105"/>
    </row>
    <row r="1519">
      <c r="A1519" s="104"/>
      <c r="B1519" s="104"/>
      <c r="C1519" s="105"/>
      <c r="D1519" s="105"/>
      <c r="E1519" s="105"/>
      <c r="F1519" s="105"/>
      <c r="G1519" s="106"/>
      <c r="H1519" s="105"/>
    </row>
    <row r="1520">
      <c r="A1520" s="104"/>
      <c r="B1520" s="104"/>
      <c r="C1520" s="105"/>
      <c r="D1520" s="105"/>
      <c r="E1520" s="105"/>
      <c r="F1520" s="105"/>
      <c r="G1520" s="106"/>
      <c r="H1520" s="105"/>
    </row>
    <row r="1521">
      <c r="A1521" s="104"/>
      <c r="B1521" s="104"/>
      <c r="C1521" s="105"/>
      <c r="D1521" s="105"/>
      <c r="E1521" s="105"/>
      <c r="F1521" s="105"/>
      <c r="G1521" s="106"/>
      <c r="H1521" s="105"/>
    </row>
    <row r="1522">
      <c r="A1522" s="104"/>
      <c r="B1522" s="104"/>
      <c r="C1522" s="105"/>
      <c r="D1522" s="105"/>
      <c r="E1522" s="105"/>
      <c r="F1522" s="105"/>
      <c r="G1522" s="106"/>
      <c r="H1522" s="105"/>
    </row>
    <row r="1523">
      <c r="A1523" s="104"/>
      <c r="B1523" s="104"/>
      <c r="C1523" s="105"/>
      <c r="D1523" s="105"/>
      <c r="E1523" s="105"/>
      <c r="F1523" s="105"/>
      <c r="G1523" s="106"/>
      <c r="H1523" s="105"/>
    </row>
    <row r="1524">
      <c r="A1524" s="104"/>
      <c r="B1524" s="104"/>
      <c r="C1524" s="105"/>
      <c r="D1524" s="105"/>
      <c r="E1524" s="105"/>
      <c r="F1524" s="105"/>
      <c r="G1524" s="106"/>
      <c r="H1524" s="105"/>
    </row>
    <row r="1525">
      <c r="A1525" s="104"/>
      <c r="B1525" s="104"/>
      <c r="C1525" s="105"/>
      <c r="D1525" s="105"/>
      <c r="E1525" s="105"/>
      <c r="F1525" s="105"/>
      <c r="G1525" s="106"/>
      <c r="H1525" s="105"/>
    </row>
    <row r="1526">
      <c r="A1526" s="104"/>
      <c r="B1526" s="104"/>
      <c r="C1526" s="105"/>
      <c r="D1526" s="105"/>
      <c r="E1526" s="105"/>
      <c r="F1526" s="105"/>
      <c r="G1526" s="106"/>
      <c r="H1526" s="105"/>
    </row>
    <row r="1527">
      <c r="A1527" s="104"/>
      <c r="B1527" s="104"/>
      <c r="C1527" s="105"/>
      <c r="D1527" s="105"/>
      <c r="E1527" s="105"/>
      <c r="F1527" s="105"/>
      <c r="G1527" s="106"/>
      <c r="H1527" s="105"/>
    </row>
    <row r="1528">
      <c r="A1528" s="104"/>
      <c r="B1528" s="104"/>
      <c r="C1528" s="105"/>
      <c r="D1528" s="105"/>
      <c r="E1528" s="105"/>
      <c r="F1528" s="105"/>
      <c r="G1528" s="106"/>
      <c r="H1528" s="105"/>
    </row>
    <row r="1529">
      <c r="A1529" s="104"/>
      <c r="B1529" s="104"/>
      <c r="C1529" s="105"/>
      <c r="D1529" s="105"/>
      <c r="E1529" s="105"/>
      <c r="F1529" s="105"/>
      <c r="G1529" s="106"/>
      <c r="H1529" s="105"/>
    </row>
    <row r="1530">
      <c r="A1530" s="104"/>
      <c r="B1530" s="104"/>
      <c r="C1530" s="105"/>
      <c r="D1530" s="105"/>
      <c r="E1530" s="105"/>
      <c r="F1530" s="105"/>
      <c r="G1530" s="106"/>
      <c r="H1530" s="105"/>
    </row>
    <row r="1531">
      <c r="A1531" s="104"/>
      <c r="B1531" s="104"/>
      <c r="C1531" s="105"/>
      <c r="D1531" s="105"/>
      <c r="E1531" s="105"/>
      <c r="F1531" s="105"/>
      <c r="G1531" s="106"/>
      <c r="H1531" s="105"/>
    </row>
    <row r="1532">
      <c r="A1532" s="104"/>
      <c r="B1532" s="104"/>
      <c r="C1532" s="105"/>
      <c r="D1532" s="105"/>
      <c r="E1532" s="105"/>
      <c r="F1532" s="105"/>
      <c r="G1532" s="106"/>
      <c r="H1532" s="105"/>
    </row>
    <row r="1533">
      <c r="A1533" s="104"/>
      <c r="B1533" s="104"/>
      <c r="C1533" s="105"/>
      <c r="D1533" s="105"/>
      <c r="E1533" s="105"/>
      <c r="F1533" s="105"/>
      <c r="G1533" s="106"/>
      <c r="H1533" s="105"/>
    </row>
    <row r="1534">
      <c r="A1534" s="104"/>
      <c r="B1534" s="104"/>
      <c r="C1534" s="105"/>
      <c r="D1534" s="105"/>
      <c r="E1534" s="105"/>
      <c r="F1534" s="105"/>
      <c r="G1534" s="106"/>
      <c r="H1534" s="105"/>
    </row>
    <row r="1535">
      <c r="A1535" s="104"/>
      <c r="B1535" s="104"/>
      <c r="C1535" s="105"/>
      <c r="D1535" s="105"/>
      <c r="E1535" s="105"/>
      <c r="F1535" s="105"/>
      <c r="G1535" s="106"/>
      <c r="H1535" s="105"/>
    </row>
    <row r="1536">
      <c r="A1536" s="104"/>
      <c r="B1536" s="104"/>
      <c r="C1536" s="105"/>
      <c r="D1536" s="105"/>
      <c r="E1536" s="105"/>
      <c r="F1536" s="105"/>
      <c r="G1536" s="106"/>
      <c r="H1536" s="105"/>
    </row>
    <row r="1537">
      <c r="A1537" s="104"/>
      <c r="B1537" s="104"/>
      <c r="C1537" s="105"/>
      <c r="D1537" s="105"/>
      <c r="E1537" s="105"/>
      <c r="F1537" s="105"/>
      <c r="G1537" s="106"/>
      <c r="H1537" s="105"/>
    </row>
    <row r="1538">
      <c r="A1538" s="104"/>
      <c r="B1538" s="104"/>
      <c r="C1538" s="105"/>
      <c r="D1538" s="105"/>
      <c r="E1538" s="105"/>
      <c r="F1538" s="105"/>
      <c r="G1538" s="106"/>
      <c r="H1538" s="105"/>
    </row>
    <row r="1539">
      <c r="A1539" s="104"/>
      <c r="B1539" s="104"/>
      <c r="C1539" s="105"/>
      <c r="D1539" s="105"/>
      <c r="E1539" s="105"/>
      <c r="F1539" s="105"/>
      <c r="G1539" s="106"/>
      <c r="H1539" s="105"/>
    </row>
    <row r="1540">
      <c r="A1540" s="104"/>
      <c r="B1540" s="104"/>
      <c r="C1540" s="105"/>
      <c r="D1540" s="105"/>
      <c r="E1540" s="105"/>
      <c r="F1540" s="105"/>
      <c r="G1540" s="106"/>
      <c r="H1540" s="105"/>
    </row>
    <row r="1541">
      <c r="A1541" s="104"/>
      <c r="B1541" s="104"/>
      <c r="C1541" s="105"/>
      <c r="D1541" s="105"/>
      <c r="E1541" s="105"/>
      <c r="F1541" s="105"/>
      <c r="G1541" s="106"/>
      <c r="H1541" s="105"/>
    </row>
    <row r="1542">
      <c r="A1542" s="104"/>
      <c r="B1542" s="104"/>
      <c r="C1542" s="105"/>
      <c r="D1542" s="105"/>
      <c r="E1542" s="105"/>
      <c r="F1542" s="105"/>
      <c r="G1542" s="106"/>
      <c r="H1542" s="105"/>
    </row>
    <row r="1543">
      <c r="A1543" s="104"/>
      <c r="B1543" s="104"/>
      <c r="C1543" s="105"/>
      <c r="D1543" s="105"/>
      <c r="E1543" s="105"/>
      <c r="F1543" s="105"/>
      <c r="G1543" s="106"/>
      <c r="H1543" s="105"/>
    </row>
    <row r="1544">
      <c r="A1544" s="104"/>
      <c r="B1544" s="104"/>
      <c r="C1544" s="105"/>
      <c r="D1544" s="105"/>
      <c r="E1544" s="105"/>
      <c r="F1544" s="105"/>
      <c r="G1544" s="106"/>
      <c r="H1544" s="105"/>
    </row>
    <row r="1545">
      <c r="A1545" s="104"/>
      <c r="B1545" s="104"/>
      <c r="C1545" s="105"/>
      <c r="D1545" s="105"/>
      <c r="E1545" s="105"/>
      <c r="F1545" s="105"/>
      <c r="G1545" s="106"/>
      <c r="H1545" s="105"/>
    </row>
    <row r="1546">
      <c r="A1546" s="104"/>
      <c r="B1546" s="104"/>
      <c r="C1546" s="105"/>
      <c r="D1546" s="105"/>
      <c r="E1546" s="105"/>
      <c r="F1546" s="105"/>
      <c r="G1546" s="106"/>
      <c r="H1546" s="105"/>
    </row>
    <row r="1547">
      <c r="A1547" s="104"/>
      <c r="B1547" s="104"/>
      <c r="C1547" s="105"/>
      <c r="D1547" s="105"/>
      <c r="E1547" s="105"/>
      <c r="F1547" s="105"/>
      <c r="G1547" s="106"/>
      <c r="H1547" s="105"/>
    </row>
    <row r="1548">
      <c r="A1548" s="104"/>
      <c r="B1548" s="104"/>
      <c r="C1548" s="105"/>
      <c r="D1548" s="105"/>
      <c r="E1548" s="105"/>
      <c r="F1548" s="105"/>
      <c r="G1548" s="106"/>
      <c r="H1548" s="105"/>
    </row>
    <row r="1549">
      <c r="A1549" s="104"/>
      <c r="B1549" s="104"/>
      <c r="C1549" s="105"/>
      <c r="D1549" s="105"/>
      <c r="E1549" s="105"/>
      <c r="F1549" s="105"/>
      <c r="G1549" s="106"/>
      <c r="H1549" s="105"/>
    </row>
    <row r="1550">
      <c r="A1550" s="104"/>
      <c r="B1550" s="104"/>
      <c r="C1550" s="105"/>
      <c r="D1550" s="105"/>
      <c r="E1550" s="105"/>
      <c r="F1550" s="105"/>
      <c r="G1550" s="106"/>
      <c r="H1550" s="105"/>
    </row>
    <row r="1551">
      <c r="A1551" s="104"/>
      <c r="B1551" s="104"/>
      <c r="C1551" s="105"/>
      <c r="D1551" s="105"/>
      <c r="E1551" s="105"/>
      <c r="F1551" s="105"/>
      <c r="G1551" s="106"/>
      <c r="H1551" s="105"/>
    </row>
    <row r="1552">
      <c r="A1552" s="104"/>
      <c r="B1552" s="104"/>
      <c r="C1552" s="105"/>
      <c r="D1552" s="105"/>
      <c r="E1552" s="105"/>
      <c r="F1552" s="105"/>
      <c r="G1552" s="106"/>
      <c r="H1552" s="105"/>
    </row>
    <row r="1553">
      <c r="A1553" s="104"/>
      <c r="B1553" s="104"/>
      <c r="C1553" s="105"/>
      <c r="D1553" s="105"/>
      <c r="E1553" s="105"/>
      <c r="F1553" s="105"/>
      <c r="G1553" s="106"/>
      <c r="H1553" s="105"/>
    </row>
    <row r="1554">
      <c r="A1554" s="104"/>
      <c r="B1554" s="104"/>
      <c r="C1554" s="105"/>
      <c r="D1554" s="105"/>
      <c r="E1554" s="105"/>
      <c r="F1554" s="105"/>
      <c r="G1554" s="106"/>
      <c r="H1554" s="105"/>
    </row>
    <row r="1555">
      <c r="A1555" s="104"/>
      <c r="B1555" s="104"/>
      <c r="C1555" s="105"/>
      <c r="D1555" s="105"/>
      <c r="E1555" s="105"/>
      <c r="F1555" s="105"/>
      <c r="G1555" s="106"/>
      <c r="H1555" s="105"/>
    </row>
    <row r="1556">
      <c r="A1556" s="104"/>
      <c r="B1556" s="104"/>
      <c r="C1556" s="105"/>
      <c r="D1556" s="105"/>
      <c r="E1556" s="105"/>
      <c r="F1556" s="105"/>
      <c r="G1556" s="106"/>
      <c r="H1556" s="105"/>
    </row>
    <row r="1557">
      <c r="A1557" s="104"/>
      <c r="B1557" s="104"/>
      <c r="C1557" s="105"/>
      <c r="D1557" s="105"/>
      <c r="E1557" s="105"/>
      <c r="F1557" s="105"/>
      <c r="G1557" s="106"/>
      <c r="H1557" s="105"/>
    </row>
    <row r="1558">
      <c r="A1558" s="104"/>
      <c r="B1558" s="104"/>
      <c r="C1558" s="105"/>
      <c r="D1558" s="105"/>
      <c r="E1558" s="105"/>
      <c r="F1558" s="105"/>
      <c r="G1558" s="106"/>
      <c r="H1558" s="105"/>
    </row>
    <row r="1559">
      <c r="A1559" s="104"/>
      <c r="B1559" s="104"/>
      <c r="C1559" s="105"/>
      <c r="D1559" s="105"/>
      <c r="E1559" s="105"/>
      <c r="F1559" s="105"/>
      <c r="G1559" s="106"/>
      <c r="H1559" s="105"/>
    </row>
    <row r="1560">
      <c r="A1560" s="104"/>
      <c r="B1560" s="104"/>
      <c r="C1560" s="105"/>
      <c r="D1560" s="105"/>
      <c r="E1560" s="105"/>
      <c r="F1560" s="105"/>
      <c r="G1560" s="106"/>
      <c r="H1560" s="105"/>
    </row>
    <row r="1561">
      <c r="A1561" s="104"/>
      <c r="B1561" s="104"/>
      <c r="C1561" s="105"/>
      <c r="D1561" s="105"/>
      <c r="E1561" s="105"/>
      <c r="F1561" s="105"/>
      <c r="G1561" s="106"/>
      <c r="H1561" s="105"/>
    </row>
    <row r="1562">
      <c r="A1562" s="104"/>
      <c r="B1562" s="104"/>
      <c r="C1562" s="105"/>
      <c r="D1562" s="105"/>
      <c r="E1562" s="105"/>
      <c r="F1562" s="105"/>
      <c r="G1562" s="106"/>
      <c r="H1562" s="105"/>
    </row>
    <row r="1563">
      <c r="A1563" s="104"/>
      <c r="B1563" s="104"/>
      <c r="C1563" s="105"/>
      <c r="D1563" s="105"/>
      <c r="E1563" s="105"/>
      <c r="F1563" s="105"/>
      <c r="G1563" s="106"/>
      <c r="H1563" s="105"/>
    </row>
    <row r="1564">
      <c r="A1564" s="104"/>
      <c r="B1564" s="104"/>
      <c r="C1564" s="105"/>
      <c r="D1564" s="105"/>
      <c r="E1564" s="105"/>
      <c r="F1564" s="105"/>
      <c r="G1564" s="106"/>
      <c r="H1564" s="105"/>
    </row>
    <row r="1565">
      <c r="A1565" s="104"/>
      <c r="B1565" s="104"/>
      <c r="C1565" s="105"/>
      <c r="D1565" s="105"/>
      <c r="E1565" s="105"/>
      <c r="F1565" s="105"/>
      <c r="G1565" s="106"/>
      <c r="H1565" s="105"/>
    </row>
    <row r="1566">
      <c r="A1566" s="104"/>
      <c r="B1566" s="104"/>
      <c r="C1566" s="105"/>
      <c r="D1566" s="105"/>
      <c r="E1566" s="105"/>
      <c r="F1566" s="105"/>
      <c r="G1566" s="106"/>
      <c r="H1566" s="105"/>
    </row>
    <row r="1567">
      <c r="A1567" s="104"/>
      <c r="B1567" s="104"/>
      <c r="C1567" s="105"/>
      <c r="D1567" s="105"/>
      <c r="E1567" s="105"/>
      <c r="F1567" s="105"/>
      <c r="G1567" s="106"/>
      <c r="H1567" s="105"/>
    </row>
    <row r="1568">
      <c r="A1568" s="104"/>
      <c r="B1568" s="104"/>
      <c r="C1568" s="105"/>
      <c r="D1568" s="105"/>
      <c r="E1568" s="105"/>
      <c r="F1568" s="105"/>
      <c r="G1568" s="106"/>
      <c r="H1568" s="105"/>
    </row>
    <row r="1569">
      <c r="A1569" s="104"/>
      <c r="B1569" s="104"/>
      <c r="C1569" s="105"/>
      <c r="D1569" s="105"/>
      <c r="E1569" s="105"/>
      <c r="F1569" s="105"/>
      <c r="G1569" s="106"/>
      <c r="H1569" s="105"/>
    </row>
    <row r="1570">
      <c r="A1570" s="104"/>
      <c r="B1570" s="104"/>
      <c r="C1570" s="105"/>
      <c r="D1570" s="105"/>
      <c r="E1570" s="105"/>
      <c r="F1570" s="105"/>
      <c r="G1570" s="106"/>
      <c r="H1570" s="105"/>
    </row>
    <row r="1571">
      <c r="A1571" s="104"/>
      <c r="B1571" s="104"/>
      <c r="C1571" s="105"/>
      <c r="D1571" s="105"/>
      <c r="E1571" s="105"/>
      <c r="F1571" s="105"/>
      <c r="G1571" s="106"/>
      <c r="H1571" s="105"/>
    </row>
    <row r="1572">
      <c r="A1572" s="104"/>
      <c r="B1572" s="104"/>
      <c r="C1572" s="105"/>
      <c r="D1572" s="105"/>
      <c r="E1572" s="105"/>
      <c r="F1572" s="105"/>
      <c r="G1572" s="106"/>
      <c r="H1572" s="105"/>
    </row>
    <row r="1573">
      <c r="A1573" s="104"/>
      <c r="B1573" s="104"/>
      <c r="C1573" s="105"/>
      <c r="D1573" s="105"/>
      <c r="E1573" s="105"/>
      <c r="F1573" s="105"/>
      <c r="G1573" s="106"/>
      <c r="H1573" s="105"/>
    </row>
    <row r="1574">
      <c r="A1574" s="104"/>
      <c r="B1574" s="104"/>
      <c r="C1574" s="105"/>
      <c r="D1574" s="105"/>
      <c r="E1574" s="105"/>
      <c r="F1574" s="105"/>
      <c r="G1574" s="106"/>
      <c r="H1574" s="105"/>
    </row>
    <row r="1575">
      <c r="A1575" s="104"/>
      <c r="B1575" s="104"/>
      <c r="C1575" s="105"/>
      <c r="D1575" s="105"/>
      <c r="E1575" s="105"/>
      <c r="F1575" s="105"/>
      <c r="G1575" s="106"/>
      <c r="H1575" s="105"/>
    </row>
    <row r="1576">
      <c r="A1576" s="104"/>
      <c r="B1576" s="104"/>
      <c r="C1576" s="105"/>
      <c r="D1576" s="105"/>
      <c r="E1576" s="105"/>
      <c r="F1576" s="105"/>
      <c r="G1576" s="106"/>
      <c r="H1576" s="105"/>
    </row>
    <row r="1577">
      <c r="A1577" s="104"/>
      <c r="B1577" s="104"/>
      <c r="C1577" s="105"/>
      <c r="D1577" s="105"/>
      <c r="E1577" s="105"/>
      <c r="F1577" s="105"/>
      <c r="G1577" s="106"/>
      <c r="H1577" s="105"/>
    </row>
    <row r="1578">
      <c r="A1578" s="104"/>
      <c r="B1578" s="104"/>
      <c r="C1578" s="105"/>
      <c r="D1578" s="105"/>
      <c r="E1578" s="105"/>
      <c r="F1578" s="105"/>
      <c r="G1578" s="106"/>
      <c r="H1578" s="105"/>
    </row>
    <row r="1579">
      <c r="A1579" s="104"/>
      <c r="B1579" s="104"/>
      <c r="C1579" s="105"/>
      <c r="D1579" s="105"/>
      <c r="E1579" s="105"/>
      <c r="F1579" s="105"/>
      <c r="G1579" s="106"/>
      <c r="H1579" s="105"/>
    </row>
    <row r="1580">
      <c r="A1580" s="104"/>
      <c r="B1580" s="104"/>
      <c r="C1580" s="105"/>
      <c r="D1580" s="105"/>
      <c r="E1580" s="105"/>
      <c r="F1580" s="105"/>
      <c r="G1580" s="106"/>
      <c r="H1580" s="105"/>
    </row>
    <row r="1581">
      <c r="A1581" s="104"/>
      <c r="B1581" s="104"/>
      <c r="C1581" s="105"/>
      <c r="D1581" s="105"/>
      <c r="E1581" s="105"/>
      <c r="F1581" s="105"/>
      <c r="G1581" s="106"/>
      <c r="H1581" s="105"/>
    </row>
    <row r="1582">
      <c r="A1582" s="104"/>
      <c r="B1582" s="104"/>
      <c r="C1582" s="105"/>
      <c r="D1582" s="105"/>
      <c r="E1582" s="105"/>
      <c r="F1582" s="105"/>
      <c r="G1582" s="106"/>
      <c r="H1582" s="105"/>
    </row>
    <row r="1583">
      <c r="A1583" s="104"/>
      <c r="B1583" s="104"/>
      <c r="C1583" s="105"/>
      <c r="D1583" s="105"/>
      <c r="E1583" s="105"/>
      <c r="F1583" s="105"/>
      <c r="G1583" s="106"/>
      <c r="H1583" s="105"/>
    </row>
    <row r="1584">
      <c r="A1584" s="104"/>
      <c r="B1584" s="104"/>
      <c r="C1584" s="105"/>
      <c r="D1584" s="105"/>
      <c r="E1584" s="105"/>
      <c r="F1584" s="105"/>
      <c r="G1584" s="106"/>
      <c r="H1584" s="105"/>
    </row>
    <row r="1585">
      <c r="A1585" s="104"/>
      <c r="B1585" s="104"/>
      <c r="C1585" s="105"/>
      <c r="D1585" s="105"/>
      <c r="E1585" s="105"/>
      <c r="F1585" s="105"/>
      <c r="G1585" s="106"/>
      <c r="H1585" s="105"/>
    </row>
    <row r="1586">
      <c r="A1586" s="104"/>
      <c r="B1586" s="104"/>
      <c r="C1586" s="105"/>
      <c r="D1586" s="105"/>
      <c r="E1586" s="105"/>
      <c r="F1586" s="105"/>
      <c r="G1586" s="106"/>
      <c r="H1586" s="105"/>
    </row>
    <row r="1587">
      <c r="A1587" s="104"/>
      <c r="B1587" s="104"/>
      <c r="C1587" s="105"/>
      <c r="D1587" s="105"/>
      <c r="E1587" s="105"/>
      <c r="F1587" s="105"/>
      <c r="G1587" s="106"/>
      <c r="H1587" s="105"/>
    </row>
    <row r="1588">
      <c r="A1588" s="104"/>
      <c r="B1588" s="104"/>
      <c r="C1588" s="105"/>
      <c r="D1588" s="105"/>
      <c r="E1588" s="105"/>
      <c r="F1588" s="105"/>
      <c r="G1588" s="106"/>
      <c r="H1588" s="105"/>
    </row>
    <row r="1589">
      <c r="A1589" s="104"/>
      <c r="B1589" s="104"/>
      <c r="C1589" s="105"/>
      <c r="D1589" s="105"/>
      <c r="E1589" s="105"/>
      <c r="F1589" s="105"/>
      <c r="G1589" s="106"/>
      <c r="H1589" s="105"/>
    </row>
    <row r="1590">
      <c r="A1590" s="104"/>
      <c r="B1590" s="104"/>
      <c r="C1590" s="105"/>
      <c r="D1590" s="105"/>
      <c r="E1590" s="105"/>
      <c r="F1590" s="105"/>
      <c r="G1590" s="106"/>
      <c r="H1590" s="105"/>
    </row>
    <row r="1591">
      <c r="A1591" s="104"/>
      <c r="B1591" s="104"/>
      <c r="C1591" s="105"/>
      <c r="D1591" s="105"/>
      <c r="E1591" s="105"/>
      <c r="F1591" s="105"/>
      <c r="G1591" s="106"/>
      <c r="H1591" s="105"/>
    </row>
    <row r="1592">
      <c r="A1592" s="104"/>
      <c r="B1592" s="104"/>
      <c r="C1592" s="105"/>
      <c r="D1592" s="105"/>
      <c r="E1592" s="105"/>
      <c r="F1592" s="105"/>
      <c r="G1592" s="106"/>
      <c r="H1592" s="105"/>
    </row>
    <row r="1593">
      <c r="A1593" s="104"/>
      <c r="B1593" s="104"/>
      <c r="C1593" s="105"/>
      <c r="D1593" s="105"/>
      <c r="E1593" s="105"/>
      <c r="F1593" s="105"/>
      <c r="G1593" s="106"/>
      <c r="H1593" s="105"/>
    </row>
    <row r="1594">
      <c r="A1594" s="104"/>
      <c r="B1594" s="104"/>
      <c r="C1594" s="105"/>
      <c r="D1594" s="105"/>
      <c r="E1594" s="105"/>
      <c r="F1594" s="105"/>
      <c r="G1594" s="106"/>
      <c r="H1594" s="105"/>
    </row>
    <row r="1595">
      <c r="A1595" s="104"/>
      <c r="B1595" s="104"/>
      <c r="C1595" s="105"/>
      <c r="D1595" s="105"/>
      <c r="E1595" s="105"/>
      <c r="F1595" s="105"/>
      <c r="G1595" s="106"/>
      <c r="H1595" s="105"/>
    </row>
    <row r="1596">
      <c r="A1596" s="104"/>
      <c r="B1596" s="104"/>
      <c r="C1596" s="105"/>
      <c r="D1596" s="105"/>
      <c r="E1596" s="105"/>
      <c r="F1596" s="105"/>
      <c r="G1596" s="106"/>
      <c r="H1596" s="105"/>
    </row>
    <row r="1597">
      <c r="A1597" s="104"/>
      <c r="B1597" s="104"/>
      <c r="C1597" s="105"/>
      <c r="D1597" s="105"/>
      <c r="E1597" s="105"/>
      <c r="F1597" s="105"/>
      <c r="G1597" s="106"/>
      <c r="H1597" s="105"/>
    </row>
    <row r="1598">
      <c r="A1598" s="104"/>
      <c r="B1598" s="104"/>
      <c r="C1598" s="105"/>
      <c r="D1598" s="105"/>
      <c r="E1598" s="105"/>
      <c r="F1598" s="105"/>
      <c r="G1598" s="106"/>
      <c r="H1598" s="105"/>
    </row>
    <row r="1599">
      <c r="A1599" s="104"/>
      <c r="B1599" s="104"/>
      <c r="C1599" s="105"/>
      <c r="D1599" s="105"/>
      <c r="E1599" s="105"/>
      <c r="F1599" s="105"/>
      <c r="G1599" s="106"/>
      <c r="H1599" s="105"/>
    </row>
    <row r="1600">
      <c r="A1600" s="104"/>
      <c r="B1600" s="104"/>
      <c r="C1600" s="105"/>
      <c r="D1600" s="105"/>
      <c r="E1600" s="105"/>
      <c r="F1600" s="105"/>
      <c r="G1600" s="106"/>
      <c r="H1600" s="105"/>
    </row>
    <row r="1601">
      <c r="A1601" s="104"/>
      <c r="B1601" s="104"/>
      <c r="C1601" s="105"/>
      <c r="D1601" s="105"/>
      <c r="E1601" s="105"/>
      <c r="F1601" s="105"/>
      <c r="G1601" s="106"/>
      <c r="H1601" s="105"/>
    </row>
    <row r="1602">
      <c r="A1602" s="104"/>
      <c r="B1602" s="104"/>
      <c r="C1602" s="105"/>
      <c r="D1602" s="105"/>
      <c r="E1602" s="105"/>
      <c r="F1602" s="105"/>
      <c r="G1602" s="106"/>
      <c r="H1602" s="105"/>
    </row>
    <row r="1603">
      <c r="A1603" s="104"/>
      <c r="B1603" s="104"/>
      <c r="C1603" s="105"/>
      <c r="D1603" s="105"/>
      <c r="E1603" s="105"/>
      <c r="F1603" s="105"/>
      <c r="G1603" s="106"/>
      <c r="H1603" s="105"/>
    </row>
    <row r="1604">
      <c r="A1604" s="104"/>
      <c r="B1604" s="104"/>
      <c r="C1604" s="105"/>
      <c r="D1604" s="105"/>
      <c r="E1604" s="105"/>
      <c r="F1604" s="105"/>
      <c r="G1604" s="106"/>
      <c r="H1604" s="105"/>
    </row>
    <row r="1605">
      <c r="A1605" s="104"/>
      <c r="B1605" s="104"/>
      <c r="C1605" s="105"/>
      <c r="D1605" s="105"/>
      <c r="E1605" s="105"/>
      <c r="F1605" s="105"/>
      <c r="G1605" s="106"/>
      <c r="H1605" s="105"/>
    </row>
    <row r="1606">
      <c r="A1606" s="104"/>
      <c r="B1606" s="104"/>
      <c r="C1606" s="105"/>
      <c r="D1606" s="105"/>
      <c r="E1606" s="105"/>
      <c r="F1606" s="105"/>
      <c r="G1606" s="106"/>
      <c r="H1606" s="105"/>
    </row>
    <row r="1607">
      <c r="A1607" s="104"/>
      <c r="B1607" s="104"/>
      <c r="C1607" s="105"/>
      <c r="D1607" s="105"/>
      <c r="E1607" s="105"/>
      <c r="F1607" s="105"/>
      <c r="G1607" s="106"/>
      <c r="H1607" s="105"/>
    </row>
    <row r="1608">
      <c r="A1608" s="104"/>
      <c r="B1608" s="104"/>
      <c r="C1608" s="105"/>
      <c r="D1608" s="105"/>
      <c r="E1608" s="105"/>
      <c r="F1608" s="105"/>
      <c r="G1608" s="106"/>
      <c r="H1608" s="105"/>
    </row>
    <row r="1609">
      <c r="A1609" s="104"/>
      <c r="B1609" s="104"/>
      <c r="C1609" s="105"/>
      <c r="D1609" s="105"/>
      <c r="E1609" s="105"/>
      <c r="F1609" s="105"/>
      <c r="G1609" s="106"/>
      <c r="H1609" s="105"/>
    </row>
    <row r="1610">
      <c r="A1610" s="104"/>
      <c r="B1610" s="104"/>
      <c r="C1610" s="105"/>
      <c r="D1610" s="105"/>
      <c r="E1610" s="105"/>
      <c r="F1610" s="105"/>
      <c r="G1610" s="106"/>
      <c r="H1610" s="105"/>
    </row>
    <row r="1611">
      <c r="A1611" s="104"/>
      <c r="B1611" s="104"/>
      <c r="C1611" s="105"/>
      <c r="D1611" s="105"/>
      <c r="E1611" s="105"/>
      <c r="F1611" s="105"/>
      <c r="G1611" s="106"/>
      <c r="H1611" s="105"/>
    </row>
    <row r="1612">
      <c r="A1612" s="104"/>
      <c r="B1612" s="104"/>
      <c r="C1612" s="105"/>
      <c r="D1612" s="105"/>
      <c r="E1612" s="105"/>
      <c r="F1612" s="105"/>
      <c r="G1612" s="106"/>
      <c r="H1612" s="105"/>
    </row>
    <row r="1613">
      <c r="A1613" s="104"/>
      <c r="B1613" s="104"/>
      <c r="C1613" s="105"/>
      <c r="D1613" s="105"/>
      <c r="E1613" s="105"/>
      <c r="F1613" s="105"/>
      <c r="G1613" s="106"/>
      <c r="H1613" s="105"/>
    </row>
    <row r="1614">
      <c r="A1614" s="104"/>
      <c r="B1614" s="104"/>
      <c r="C1614" s="105"/>
      <c r="D1614" s="105"/>
      <c r="E1614" s="105"/>
      <c r="F1614" s="105"/>
      <c r="G1614" s="106"/>
      <c r="H1614" s="105"/>
    </row>
    <row r="1615">
      <c r="A1615" s="104"/>
      <c r="B1615" s="104"/>
      <c r="C1615" s="105"/>
      <c r="D1615" s="105"/>
      <c r="E1615" s="105"/>
      <c r="F1615" s="105"/>
      <c r="G1615" s="106"/>
      <c r="H1615" s="105"/>
    </row>
    <row r="1616">
      <c r="A1616" s="104"/>
      <c r="B1616" s="104"/>
      <c r="C1616" s="105"/>
      <c r="D1616" s="105"/>
      <c r="E1616" s="105"/>
      <c r="F1616" s="105"/>
      <c r="G1616" s="106"/>
      <c r="H1616" s="105"/>
    </row>
    <row r="1617">
      <c r="A1617" s="104"/>
      <c r="B1617" s="104"/>
      <c r="C1617" s="105"/>
      <c r="D1617" s="105"/>
      <c r="E1617" s="105"/>
      <c r="F1617" s="105"/>
      <c r="G1617" s="106"/>
      <c r="H1617" s="105"/>
    </row>
    <row r="1618">
      <c r="A1618" s="104"/>
      <c r="B1618" s="104"/>
      <c r="C1618" s="105"/>
      <c r="D1618" s="105"/>
      <c r="E1618" s="105"/>
      <c r="F1618" s="105"/>
      <c r="G1618" s="106"/>
      <c r="H1618" s="105"/>
    </row>
    <row r="1619">
      <c r="A1619" s="104"/>
      <c r="B1619" s="104"/>
      <c r="C1619" s="105"/>
      <c r="D1619" s="105"/>
      <c r="E1619" s="105"/>
      <c r="F1619" s="105"/>
      <c r="G1619" s="106"/>
      <c r="H1619" s="105"/>
    </row>
    <row r="1620">
      <c r="A1620" s="104"/>
      <c r="B1620" s="104"/>
      <c r="C1620" s="105"/>
      <c r="D1620" s="105"/>
      <c r="E1620" s="105"/>
      <c r="F1620" s="105"/>
      <c r="G1620" s="106"/>
      <c r="H1620" s="105"/>
    </row>
    <row r="1621">
      <c r="A1621" s="104"/>
      <c r="B1621" s="104"/>
      <c r="C1621" s="105"/>
      <c r="D1621" s="105"/>
      <c r="E1621" s="105"/>
      <c r="F1621" s="105"/>
      <c r="G1621" s="106"/>
      <c r="H1621" s="105"/>
    </row>
    <row r="1622">
      <c r="A1622" s="104"/>
      <c r="B1622" s="104"/>
      <c r="C1622" s="105"/>
      <c r="D1622" s="105"/>
      <c r="E1622" s="105"/>
      <c r="F1622" s="105"/>
      <c r="G1622" s="106"/>
      <c r="H1622" s="105"/>
    </row>
    <row r="1623">
      <c r="A1623" s="104"/>
      <c r="B1623" s="104"/>
      <c r="C1623" s="105"/>
      <c r="D1623" s="105"/>
      <c r="E1623" s="105"/>
      <c r="F1623" s="105"/>
      <c r="G1623" s="106"/>
      <c r="H1623" s="105"/>
    </row>
    <row r="1624">
      <c r="A1624" s="104"/>
      <c r="B1624" s="104"/>
      <c r="C1624" s="105"/>
      <c r="D1624" s="105"/>
      <c r="E1624" s="105"/>
      <c r="F1624" s="105"/>
      <c r="G1624" s="106"/>
      <c r="H1624" s="105"/>
    </row>
    <row r="1625">
      <c r="A1625" s="104"/>
      <c r="B1625" s="104"/>
      <c r="C1625" s="105"/>
      <c r="D1625" s="105"/>
      <c r="E1625" s="105"/>
      <c r="F1625" s="105"/>
      <c r="G1625" s="106"/>
      <c r="H1625" s="105"/>
    </row>
    <row r="1626">
      <c r="A1626" s="104"/>
      <c r="B1626" s="104"/>
      <c r="C1626" s="105"/>
      <c r="D1626" s="105"/>
      <c r="E1626" s="105"/>
      <c r="F1626" s="105"/>
      <c r="G1626" s="106"/>
      <c r="H1626" s="105"/>
    </row>
    <row r="1627">
      <c r="A1627" s="104"/>
      <c r="B1627" s="104"/>
      <c r="C1627" s="105"/>
      <c r="D1627" s="105"/>
      <c r="E1627" s="105"/>
      <c r="F1627" s="105"/>
      <c r="G1627" s="106"/>
      <c r="H1627" s="105"/>
    </row>
    <row r="1628">
      <c r="A1628" s="104"/>
      <c r="B1628" s="104"/>
      <c r="C1628" s="105"/>
      <c r="D1628" s="105"/>
      <c r="E1628" s="105"/>
      <c r="F1628" s="105"/>
      <c r="G1628" s="106"/>
      <c r="H1628" s="105"/>
    </row>
    <row r="1629">
      <c r="A1629" s="104"/>
      <c r="B1629" s="104"/>
      <c r="C1629" s="105"/>
      <c r="D1629" s="105"/>
      <c r="E1629" s="105"/>
      <c r="F1629" s="105"/>
      <c r="G1629" s="106"/>
      <c r="H1629" s="105"/>
    </row>
    <row r="1630">
      <c r="A1630" s="104"/>
      <c r="B1630" s="104"/>
      <c r="C1630" s="105"/>
      <c r="D1630" s="105"/>
      <c r="E1630" s="105"/>
      <c r="F1630" s="105"/>
      <c r="G1630" s="106"/>
      <c r="H1630" s="105"/>
    </row>
    <row r="1631">
      <c r="A1631" s="104"/>
      <c r="B1631" s="104"/>
      <c r="C1631" s="105"/>
      <c r="D1631" s="105"/>
      <c r="E1631" s="105"/>
      <c r="F1631" s="105"/>
      <c r="G1631" s="106"/>
      <c r="H1631" s="105"/>
    </row>
    <row r="1632">
      <c r="A1632" s="104"/>
      <c r="B1632" s="104"/>
      <c r="C1632" s="105"/>
      <c r="D1632" s="105"/>
      <c r="E1632" s="105"/>
      <c r="F1632" s="105"/>
      <c r="G1632" s="106"/>
      <c r="H1632" s="105"/>
    </row>
    <row r="1633">
      <c r="A1633" s="104"/>
      <c r="B1633" s="104"/>
      <c r="C1633" s="105"/>
      <c r="D1633" s="105"/>
      <c r="E1633" s="105"/>
      <c r="F1633" s="105"/>
      <c r="G1633" s="106"/>
      <c r="H1633" s="105"/>
    </row>
    <row r="1634">
      <c r="A1634" s="104"/>
      <c r="B1634" s="104"/>
      <c r="C1634" s="105"/>
      <c r="D1634" s="105"/>
      <c r="E1634" s="105"/>
      <c r="F1634" s="105"/>
      <c r="G1634" s="106"/>
      <c r="H1634" s="105"/>
    </row>
    <row r="1635">
      <c r="A1635" s="104"/>
      <c r="B1635" s="104"/>
      <c r="C1635" s="105"/>
      <c r="D1635" s="105"/>
      <c r="E1635" s="105"/>
      <c r="F1635" s="105"/>
      <c r="G1635" s="106"/>
      <c r="H1635" s="105"/>
    </row>
    <row r="1636">
      <c r="A1636" s="104"/>
      <c r="B1636" s="104"/>
      <c r="C1636" s="105"/>
      <c r="D1636" s="105"/>
      <c r="E1636" s="105"/>
      <c r="F1636" s="105"/>
      <c r="G1636" s="106"/>
      <c r="H1636" s="105"/>
    </row>
    <row r="1637">
      <c r="A1637" s="104"/>
      <c r="B1637" s="104"/>
      <c r="C1637" s="105"/>
      <c r="D1637" s="105"/>
      <c r="E1637" s="105"/>
      <c r="F1637" s="105"/>
      <c r="G1637" s="106"/>
      <c r="H1637" s="105"/>
    </row>
    <row r="1638">
      <c r="A1638" s="104"/>
      <c r="B1638" s="104"/>
      <c r="C1638" s="105"/>
      <c r="D1638" s="105"/>
      <c r="E1638" s="105"/>
      <c r="F1638" s="105"/>
      <c r="G1638" s="106"/>
      <c r="H1638" s="105"/>
    </row>
    <row r="1639">
      <c r="A1639" s="104"/>
      <c r="B1639" s="104"/>
      <c r="C1639" s="105"/>
      <c r="D1639" s="105"/>
      <c r="E1639" s="105"/>
      <c r="F1639" s="105"/>
      <c r="G1639" s="106"/>
      <c r="H1639" s="105"/>
    </row>
    <row r="1640">
      <c r="A1640" s="104"/>
      <c r="B1640" s="104"/>
      <c r="C1640" s="105"/>
      <c r="D1640" s="105"/>
      <c r="E1640" s="105"/>
      <c r="F1640" s="105"/>
      <c r="G1640" s="106"/>
      <c r="H1640" s="105"/>
    </row>
    <row r="1641">
      <c r="A1641" s="104"/>
      <c r="B1641" s="104"/>
      <c r="C1641" s="105"/>
      <c r="D1641" s="105"/>
      <c r="E1641" s="105"/>
      <c r="F1641" s="105"/>
      <c r="G1641" s="106"/>
      <c r="H1641" s="105"/>
    </row>
    <row r="1642">
      <c r="A1642" s="104"/>
      <c r="B1642" s="104"/>
      <c r="C1642" s="105"/>
      <c r="D1642" s="105"/>
      <c r="E1642" s="105"/>
      <c r="F1642" s="105"/>
      <c r="G1642" s="106"/>
      <c r="H1642" s="105"/>
    </row>
    <row r="1643">
      <c r="A1643" s="104"/>
      <c r="B1643" s="104"/>
      <c r="C1643" s="105"/>
      <c r="D1643" s="105"/>
      <c r="E1643" s="105"/>
      <c r="F1643" s="105"/>
      <c r="G1643" s="106"/>
      <c r="H1643" s="105"/>
    </row>
    <row r="1644">
      <c r="A1644" s="104"/>
      <c r="B1644" s="104"/>
      <c r="C1644" s="105"/>
      <c r="D1644" s="105"/>
      <c r="E1644" s="105"/>
      <c r="F1644" s="105"/>
      <c r="G1644" s="106"/>
      <c r="H1644" s="105"/>
    </row>
    <row r="1645">
      <c r="A1645" s="104"/>
      <c r="B1645" s="104"/>
      <c r="C1645" s="105"/>
      <c r="D1645" s="105"/>
      <c r="E1645" s="105"/>
      <c r="F1645" s="105"/>
      <c r="G1645" s="106"/>
      <c r="H1645" s="105"/>
    </row>
    <row r="1646">
      <c r="A1646" s="104"/>
      <c r="B1646" s="104"/>
      <c r="C1646" s="105"/>
      <c r="D1646" s="105"/>
      <c r="E1646" s="105"/>
      <c r="F1646" s="105"/>
      <c r="G1646" s="106"/>
      <c r="H1646" s="105"/>
    </row>
    <row r="1647">
      <c r="A1647" s="104"/>
      <c r="B1647" s="104"/>
      <c r="C1647" s="105"/>
      <c r="D1647" s="105"/>
      <c r="E1647" s="105"/>
      <c r="F1647" s="105"/>
      <c r="G1647" s="106"/>
      <c r="H1647" s="105"/>
    </row>
    <row r="1648">
      <c r="A1648" s="104"/>
      <c r="B1648" s="104"/>
      <c r="C1648" s="105"/>
      <c r="D1648" s="105"/>
      <c r="E1648" s="105"/>
      <c r="F1648" s="105"/>
      <c r="G1648" s="106"/>
      <c r="H1648" s="105"/>
    </row>
    <row r="1649">
      <c r="A1649" s="104"/>
      <c r="B1649" s="104"/>
      <c r="C1649" s="105"/>
      <c r="D1649" s="105"/>
      <c r="E1649" s="105"/>
      <c r="F1649" s="105"/>
      <c r="G1649" s="106"/>
      <c r="H1649" s="105"/>
    </row>
    <row r="1650">
      <c r="A1650" s="104"/>
      <c r="B1650" s="104"/>
      <c r="C1650" s="105"/>
      <c r="D1650" s="105"/>
      <c r="E1650" s="105"/>
      <c r="F1650" s="105"/>
      <c r="G1650" s="106"/>
      <c r="H1650" s="105"/>
    </row>
    <row r="1651">
      <c r="A1651" s="104"/>
      <c r="B1651" s="104"/>
      <c r="C1651" s="105"/>
      <c r="D1651" s="105"/>
      <c r="E1651" s="105"/>
      <c r="F1651" s="105"/>
      <c r="G1651" s="106"/>
      <c r="H1651" s="105"/>
    </row>
    <row r="1652">
      <c r="A1652" s="104"/>
      <c r="B1652" s="104"/>
      <c r="C1652" s="105"/>
      <c r="D1652" s="105"/>
      <c r="E1652" s="105"/>
      <c r="F1652" s="105"/>
      <c r="G1652" s="106"/>
      <c r="H1652" s="105"/>
    </row>
    <row r="1653">
      <c r="A1653" s="104"/>
      <c r="B1653" s="104"/>
      <c r="C1653" s="105"/>
      <c r="D1653" s="105"/>
      <c r="E1653" s="105"/>
      <c r="F1653" s="105"/>
      <c r="G1653" s="106"/>
      <c r="H1653" s="105"/>
    </row>
    <row r="1654">
      <c r="A1654" s="104"/>
      <c r="B1654" s="104"/>
      <c r="C1654" s="105"/>
      <c r="D1654" s="105"/>
      <c r="E1654" s="105"/>
      <c r="F1654" s="105"/>
      <c r="G1654" s="106"/>
      <c r="H1654" s="105"/>
    </row>
    <row r="1655">
      <c r="A1655" s="104"/>
      <c r="B1655" s="104"/>
      <c r="C1655" s="105"/>
      <c r="D1655" s="105"/>
      <c r="E1655" s="105"/>
      <c r="F1655" s="105"/>
      <c r="G1655" s="106"/>
      <c r="H1655" s="105"/>
    </row>
    <row r="1656">
      <c r="A1656" s="104"/>
      <c r="B1656" s="104"/>
      <c r="C1656" s="105"/>
      <c r="D1656" s="105"/>
      <c r="E1656" s="105"/>
      <c r="F1656" s="105"/>
      <c r="G1656" s="106"/>
      <c r="H1656" s="105"/>
    </row>
    <row r="1657">
      <c r="A1657" s="104"/>
      <c r="B1657" s="104"/>
      <c r="C1657" s="105"/>
      <c r="D1657" s="105"/>
      <c r="E1657" s="105"/>
      <c r="F1657" s="105"/>
      <c r="G1657" s="106"/>
      <c r="H1657" s="105"/>
    </row>
    <row r="1658">
      <c r="A1658" s="104"/>
      <c r="B1658" s="104"/>
      <c r="C1658" s="105"/>
      <c r="D1658" s="105"/>
      <c r="E1658" s="105"/>
      <c r="F1658" s="105"/>
      <c r="G1658" s="106"/>
      <c r="H1658" s="105"/>
    </row>
    <row r="1659">
      <c r="A1659" s="104"/>
      <c r="B1659" s="104"/>
      <c r="C1659" s="105"/>
      <c r="D1659" s="105"/>
      <c r="E1659" s="105"/>
      <c r="F1659" s="105"/>
      <c r="G1659" s="106"/>
      <c r="H1659" s="105"/>
    </row>
    <row r="1660">
      <c r="A1660" s="104"/>
      <c r="B1660" s="104"/>
      <c r="C1660" s="105"/>
      <c r="D1660" s="105"/>
      <c r="E1660" s="105"/>
      <c r="F1660" s="105"/>
      <c r="G1660" s="106"/>
      <c r="H1660" s="105"/>
    </row>
    <row r="1661">
      <c r="A1661" s="104"/>
      <c r="B1661" s="104"/>
      <c r="C1661" s="105"/>
      <c r="D1661" s="105"/>
      <c r="E1661" s="105"/>
      <c r="F1661" s="105"/>
      <c r="G1661" s="106"/>
      <c r="H1661" s="105"/>
    </row>
    <row r="1662">
      <c r="A1662" s="104"/>
      <c r="B1662" s="104"/>
      <c r="C1662" s="105"/>
      <c r="D1662" s="105"/>
      <c r="E1662" s="105"/>
      <c r="F1662" s="105"/>
      <c r="G1662" s="106"/>
      <c r="H1662" s="105"/>
    </row>
    <row r="1663">
      <c r="A1663" s="104"/>
      <c r="B1663" s="104"/>
      <c r="C1663" s="105"/>
      <c r="D1663" s="105"/>
      <c r="E1663" s="105"/>
      <c r="F1663" s="105"/>
      <c r="G1663" s="106"/>
      <c r="H1663" s="105"/>
    </row>
    <row r="1664">
      <c r="A1664" s="104"/>
      <c r="B1664" s="104"/>
      <c r="C1664" s="105"/>
      <c r="D1664" s="105"/>
      <c r="E1664" s="105"/>
      <c r="F1664" s="105"/>
      <c r="G1664" s="106"/>
      <c r="H1664" s="105"/>
    </row>
    <row r="1665">
      <c r="A1665" s="104"/>
      <c r="B1665" s="104"/>
      <c r="C1665" s="105"/>
      <c r="D1665" s="105"/>
      <c r="E1665" s="105"/>
      <c r="F1665" s="105"/>
      <c r="G1665" s="106"/>
      <c r="H1665" s="105"/>
    </row>
    <row r="1666">
      <c r="A1666" s="104"/>
      <c r="B1666" s="104"/>
      <c r="C1666" s="105"/>
      <c r="D1666" s="105"/>
      <c r="E1666" s="105"/>
      <c r="F1666" s="105"/>
      <c r="G1666" s="106"/>
      <c r="H1666" s="105"/>
    </row>
    <row r="1667">
      <c r="A1667" s="104"/>
      <c r="B1667" s="104"/>
      <c r="C1667" s="105"/>
      <c r="D1667" s="105"/>
      <c r="E1667" s="105"/>
      <c r="F1667" s="105"/>
      <c r="G1667" s="106"/>
      <c r="H1667" s="105"/>
    </row>
    <row r="1668">
      <c r="A1668" s="104"/>
      <c r="B1668" s="104"/>
      <c r="C1668" s="105"/>
      <c r="D1668" s="105"/>
      <c r="E1668" s="105"/>
      <c r="F1668" s="105"/>
      <c r="G1668" s="106"/>
      <c r="H1668" s="105"/>
    </row>
    <row r="1669">
      <c r="A1669" s="104"/>
      <c r="B1669" s="104"/>
      <c r="C1669" s="105"/>
      <c r="D1669" s="105"/>
      <c r="E1669" s="105"/>
      <c r="F1669" s="105"/>
      <c r="G1669" s="106"/>
      <c r="H1669" s="105"/>
    </row>
    <row r="1670">
      <c r="A1670" s="104"/>
      <c r="B1670" s="104"/>
      <c r="C1670" s="105"/>
      <c r="D1670" s="105"/>
      <c r="E1670" s="105"/>
      <c r="F1670" s="105"/>
      <c r="G1670" s="106"/>
      <c r="H1670" s="105"/>
    </row>
    <row r="1671">
      <c r="A1671" s="104"/>
      <c r="B1671" s="104"/>
      <c r="C1671" s="105"/>
      <c r="D1671" s="105"/>
      <c r="E1671" s="105"/>
      <c r="F1671" s="105"/>
      <c r="G1671" s="106"/>
      <c r="H1671" s="105"/>
    </row>
    <row r="1672">
      <c r="A1672" s="104"/>
      <c r="B1672" s="104"/>
      <c r="C1672" s="105"/>
      <c r="D1672" s="105"/>
      <c r="E1672" s="105"/>
      <c r="F1672" s="105"/>
      <c r="G1672" s="106"/>
      <c r="H1672" s="105"/>
    </row>
    <row r="1673">
      <c r="A1673" s="104"/>
      <c r="B1673" s="104"/>
      <c r="C1673" s="105"/>
      <c r="D1673" s="105"/>
      <c r="E1673" s="105"/>
      <c r="F1673" s="105"/>
      <c r="G1673" s="106"/>
      <c r="H1673" s="105"/>
    </row>
    <row r="1674">
      <c r="A1674" s="104"/>
      <c r="B1674" s="104"/>
      <c r="C1674" s="105"/>
      <c r="D1674" s="105"/>
      <c r="E1674" s="105"/>
      <c r="F1674" s="105"/>
      <c r="G1674" s="106"/>
      <c r="H1674" s="105"/>
    </row>
    <row r="1675">
      <c r="A1675" s="104"/>
      <c r="B1675" s="104"/>
      <c r="C1675" s="105"/>
      <c r="D1675" s="105"/>
      <c r="E1675" s="105"/>
      <c r="F1675" s="105"/>
      <c r="G1675" s="106"/>
      <c r="H1675" s="105"/>
    </row>
    <row r="1676">
      <c r="A1676" s="104"/>
      <c r="B1676" s="104"/>
      <c r="C1676" s="105"/>
      <c r="D1676" s="105"/>
      <c r="E1676" s="105"/>
      <c r="F1676" s="105"/>
      <c r="G1676" s="106"/>
      <c r="H1676" s="105"/>
    </row>
    <row r="1677">
      <c r="A1677" s="104"/>
      <c r="B1677" s="104"/>
      <c r="C1677" s="105"/>
      <c r="D1677" s="105"/>
      <c r="E1677" s="105"/>
      <c r="F1677" s="105"/>
      <c r="G1677" s="106"/>
      <c r="H1677" s="105"/>
    </row>
    <row r="1678">
      <c r="A1678" s="104"/>
      <c r="B1678" s="104"/>
      <c r="C1678" s="105"/>
      <c r="D1678" s="105"/>
      <c r="E1678" s="105"/>
      <c r="F1678" s="105"/>
      <c r="G1678" s="106"/>
      <c r="H1678" s="105"/>
    </row>
    <row r="1679">
      <c r="A1679" s="104"/>
      <c r="B1679" s="104"/>
      <c r="C1679" s="105"/>
      <c r="D1679" s="105"/>
      <c r="E1679" s="105"/>
      <c r="F1679" s="105"/>
      <c r="G1679" s="106"/>
      <c r="H1679" s="105"/>
    </row>
    <row r="1680">
      <c r="A1680" s="104"/>
      <c r="B1680" s="104"/>
      <c r="C1680" s="105"/>
      <c r="D1680" s="105"/>
      <c r="E1680" s="105"/>
      <c r="F1680" s="105"/>
      <c r="G1680" s="106"/>
      <c r="H1680" s="105"/>
    </row>
    <row r="1681">
      <c r="A1681" s="104"/>
      <c r="B1681" s="104"/>
      <c r="C1681" s="105"/>
      <c r="D1681" s="105"/>
      <c r="E1681" s="105"/>
      <c r="F1681" s="105"/>
      <c r="G1681" s="106"/>
      <c r="H1681" s="105"/>
    </row>
    <row r="1682">
      <c r="A1682" s="104"/>
      <c r="B1682" s="104"/>
      <c r="C1682" s="105"/>
      <c r="D1682" s="105"/>
      <c r="E1682" s="105"/>
      <c r="F1682" s="105"/>
      <c r="G1682" s="106"/>
      <c r="H1682" s="105"/>
    </row>
    <row r="1683">
      <c r="A1683" s="104"/>
      <c r="B1683" s="104"/>
      <c r="C1683" s="105"/>
      <c r="D1683" s="105"/>
      <c r="E1683" s="105"/>
      <c r="F1683" s="105"/>
      <c r="G1683" s="106"/>
      <c r="H1683" s="105"/>
    </row>
    <row r="1684">
      <c r="A1684" s="104"/>
      <c r="B1684" s="104"/>
      <c r="C1684" s="105"/>
      <c r="D1684" s="105"/>
      <c r="E1684" s="105"/>
      <c r="F1684" s="105"/>
      <c r="G1684" s="106"/>
      <c r="H1684" s="105"/>
    </row>
    <row r="1685">
      <c r="A1685" s="104"/>
      <c r="B1685" s="104"/>
      <c r="C1685" s="105"/>
      <c r="D1685" s="105"/>
      <c r="E1685" s="105"/>
      <c r="F1685" s="105"/>
      <c r="G1685" s="106"/>
      <c r="H1685" s="105"/>
    </row>
    <row r="1686">
      <c r="A1686" s="104"/>
      <c r="B1686" s="104"/>
      <c r="C1686" s="105"/>
      <c r="D1686" s="105"/>
      <c r="E1686" s="105"/>
      <c r="F1686" s="105"/>
      <c r="G1686" s="106"/>
      <c r="H1686" s="105"/>
    </row>
    <row r="1687">
      <c r="A1687" s="104"/>
      <c r="B1687" s="104"/>
      <c r="C1687" s="105"/>
      <c r="D1687" s="105"/>
      <c r="E1687" s="105"/>
      <c r="F1687" s="105"/>
      <c r="G1687" s="106"/>
      <c r="H1687" s="105"/>
    </row>
    <row r="1688">
      <c r="A1688" s="104"/>
      <c r="B1688" s="104"/>
      <c r="C1688" s="105"/>
      <c r="D1688" s="105"/>
      <c r="E1688" s="105"/>
      <c r="F1688" s="105"/>
      <c r="G1688" s="106"/>
      <c r="H1688" s="105"/>
    </row>
    <row r="1689">
      <c r="A1689" s="104"/>
      <c r="B1689" s="104"/>
      <c r="C1689" s="105"/>
      <c r="D1689" s="105"/>
      <c r="E1689" s="105"/>
      <c r="F1689" s="105"/>
      <c r="G1689" s="106"/>
      <c r="H1689" s="105"/>
    </row>
    <row r="1690">
      <c r="A1690" s="104"/>
      <c r="B1690" s="104"/>
      <c r="C1690" s="105"/>
      <c r="D1690" s="105"/>
      <c r="E1690" s="105"/>
      <c r="F1690" s="105"/>
      <c r="G1690" s="106"/>
      <c r="H1690" s="105"/>
    </row>
    <row r="1691">
      <c r="A1691" s="104"/>
      <c r="B1691" s="104"/>
      <c r="C1691" s="105"/>
      <c r="D1691" s="105"/>
      <c r="E1691" s="105"/>
      <c r="F1691" s="105"/>
      <c r="G1691" s="106"/>
      <c r="H1691" s="105"/>
    </row>
    <row r="1692">
      <c r="A1692" s="104"/>
      <c r="B1692" s="104"/>
      <c r="C1692" s="105"/>
      <c r="D1692" s="105"/>
      <c r="E1692" s="105"/>
      <c r="F1692" s="105"/>
      <c r="G1692" s="106"/>
      <c r="H1692" s="105"/>
    </row>
    <row r="1693">
      <c r="A1693" s="104"/>
      <c r="B1693" s="104"/>
      <c r="C1693" s="105"/>
      <c r="D1693" s="105"/>
      <c r="E1693" s="105"/>
      <c r="F1693" s="105"/>
      <c r="G1693" s="106"/>
      <c r="H1693" s="105"/>
    </row>
    <row r="1694">
      <c r="A1694" s="104"/>
      <c r="B1694" s="104"/>
      <c r="C1694" s="105"/>
      <c r="D1694" s="105"/>
      <c r="E1694" s="105"/>
      <c r="F1694" s="105"/>
      <c r="G1694" s="106"/>
      <c r="H1694" s="105"/>
    </row>
    <row r="1695">
      <c r="A1695" s="104"/>
      <c r="B1695" s="104"/>
      <c r="C1695" s="105"/>
      <c r="D1695" s="105"/>
      <c r="E1695" s="105"/>
      <c r="F1695" s="105"/>
      <c r="G1695" s="106"/>
      <c r="H1695" s="105"/>
    </row>
    <row r="1696">
      <c r="A1696" s="104"/>
      <c r="B1696" s="104"/>
      <c r="C1696" s="105"/>
      <c r="D1696" s="105"/>
      <c r="E1696" s="105"/>
      <c r="F1696" s="105"/>
      <c r="G1696" s="106"/>
      <c r="H1696" s="105"/>
    </row>
    <row r="1697">
      <c r="A1697" s="104"/>
      <c r="B1697" s="104"/>
      <c r="C1697" s="105"/>
      <c r="D1697" s="105"/>
      <c r="E1697" s="105"/>
      <c r="F1697" s="105"/>
      <c r="G1697" s="106"/>
      <c r="H1697" s="105"/>
    </row>
    <row r="1698">
      <c r="A1698" s="104"/>
      <c r="B1698" s="104"/>
      <c r="C1698" s="105"/>
      <c r="D1698" s="105"/>
      <c r="E1698" s="105"/>
      <c r="F1698" s="105"/>
      <c r="G1698" s="106"/>
      <c r="H1698" s="105"/>
    </row>
    <row r="1699">
      <c r="A1699" s="104"/>
      <c r="B1699" s="104"/>
      <c r="C1699" s="105"/>
      <c r="D1699" s="105"/>
      <c r="E1699" s="105"/>
      <c r="F1699" s="105"/>
      <c r="G1699" s="106"/>
      <c r="H1699" s="105"/>
    </row>
    <row r="1700">
      <c r="A1700" s="104"/>
      <c r="B1700" s="104"/>
      <c r="C1700" s="105"/>
      <c r="D1700" s="105"/>
      <c r="E1700" s="105"/>
      <c r="F1700" s="105"/>
      <c r="G1700" s="106"/>
      <c r="H1700" s="105"/>
    </row>
    <row r="1701">
      <c r="A1701" s="104"/>
      <c r="B1701" s="104"/>
      <c r="C1701" s="105"/>
      <c r="D1701" s="105"/>
      <c r="E1701" s="105"/>
      <c r="F1701" s="105"/>
      <c r="G1701" s="106"/>
      <c r="H1701" s="105"/>
    </row>
    <row r="1702">
      <c r="A1702" s="104"/>
      <c r="B1702" s="104"/>
      <c r="C1702" s="105"/>
      <c r="D1702" s="105"/>
      <c r="E1702" s="105"/>
      <c r="F1702" s="105"/>
      <c r="G1702" s="106"/>
      <c r="H1702" s="105"/>
    </row>
    <row r="1703">
      <c r="A1703" s="104"/>
      <c r="B1703" s="104"/>
      <c r="C1703" s="105"/>
      <c r="D1703" s="105"/>
      <c r="E1703" s="105"/>
      <c r="F1703" s="105"/>
      <c r="G1703" s="106"/>
      <c r="H1703" s="105"/>
    </row>
    <row r="1704">
      <c r="A1704" s="104"/>
      <c r="B1704" s="104"/>
      <c r="C1704" s="105"/>
      <c r="D1704" s="105"/>
      <c r="E1704" s="105"/>
      <c r="F1704" s="105"/>
      <c r="G1704" s="106"/>
      <c r="H1704" s="105"/>
    </row>
    <row r="1705">
      <c r="A1705" s="104"/>
      <c r="B1705" s="104"/>
      <c r="C1705" s="105"/>
      <c r="D1705" s="105"/>
      <c r="E1705" s="105"/>
      <c r="F1705" s="105"/>
      <c r="G1705" s="106"/>
      <c r="H1705" s="105"/>
    </row>
    <row r="1706">
      <c r="A1706" s="104"/>
      <c r="B1706" s="104"/>
      <c r="C1706" s="105"/>
      <c r="D1706" s="105"/>
      <c r="E1706" s="105"/>
      <c r="F1706" s="105"/>
      <c r="G1706" s="106"/>
      <c r="H1706" s="105"/>
    </row>
    <row r="1707">
      <c r="A1707" s="104"/>
      <c r="B1707" s="104"/>
      <c r="C1707" s="105"/>
      <c r="D1707" s="105"/>
      <c r="E1707" s="105"/>
      <c r="F1707" s="105"/>
      <c r="G1707" s="106"/>
      <c r="H1707" s="105"/>
    </row>
    <row r="1708">
      <c r="A1708" s="104"/>
      <c r="B1708" s="104"/>
      <c r="C1708" s="105"/>
      <c r="D1708" s="105"/>
      <c r="E1708" s="105"/>
      <c r="F1708" s="105"/>
      <c r="G1708" s="106"/>
      <c r="H1708" s="105"/>
    </row>
    <row r="1709">
      <c r="A1709" s="104"/>
      <c r="B1709" s="104"/>
      <c r="C1709" s="105"/>
      <c r="D1709" s="105"/>
      <c r="E1709" s="105"/>
      <c r="F1709" s="105"/>
      <c r="G1709" s="106"/>
      <c r="H1709" s="105"/>
    </row>
    <row r="1710">
      <c r="A1710" s="104"/>
      <c r="B1710" s="104"/>
      <c r="C1710" s="105"/>
      <c r="D1710" s="105"/>
      <c r="E1710" s="105"/>
      <c r="F1710" s="105"/>
      <c r="G1710" s="106"/>
      <c r="H1710" s="105"/>
    </row>
    <row r="1711">
      <c r="A1711" s="104"/>
      <c r="B1711" s="104"/>
      <c r="C1711" s="105"/>
      <c r="D1711" s="105"/>
      <c r="E1711" s="105"/>
      <c r="F1711" s="105"/>
      <c r="G1711" s="106"/>
      <c r="H1711" s="105"/>
    </row>
    <row r="1712">
      <c r="A1712" s="104"/>
      <c r="B1712" s="104"/>
      <c r="C1712" s="105"/>
      <c r="D1712" s="105"/>
      <c r="E1712" s="105"/>
      <c r="F1712" s="105"/>
      <c r="G1712" s="106"/>
      <c r="H1712" s="105"/>
    </row>
    <row r="1713">
      <c r="A1713" s="104"/>
      <c r="B1713" s="104"/>
      <c r="C1713" s="105"/>
      <c r="D1713" s="105"/>
      <c r="E1713" s="105"/>
      <c r="F1713" s="105"/>
      <c r="G1713" s="106"/>
      <c r="H1713" s="105"/>
    </row>
    <row r="1714">
      <c r="A1714" s="104"/>
      <c r="B1714" s="104"/>
      <c r="C1714" s="105"/>
      <c r="D1714" s="105"/>
      <c r="E1714" s="105"/>
      <c r="F1714" s="105"/>
      <c r="G1714" s="106"/>
      <c r="H1714" s="105"/>
    </row>
    <row r="1715">
      <c r="A1715" s="104"/>
      <c r="B1715" s="104"/>
      <c r="C1715" s="105"/>
      <c r="D1715" s="105"/>
      <c r="E1715" s="105"/>
      <c r="F1715" s="105"/>
      <c r="G1715" s="106"/>
      <c r="H1715" s="105"/>
    </row>
    <row r="1716">
      <c r="A1716" s="104"/>
      <c r="B1716" s="104"/>
      <c r="C1716" s="105"/>
      <c r="D1716" s="105"/>
      <c r="E1716" s="105"/>
      <c r="F1716" s="105"/>
      <c r="G1716" s="106"/>
      <c r="H1716" s="105"/>
    </row>
    <row r="1717">
      <c r="A1717" s="104"/>
      <c r="B1717" s="104"/>
      <c r="C1717" s="105"/>
      <c r="D1717" s="105"/>
      <c r="E1717" s="105"/>
      <c r="F1717" s="105"/>
      <c r="G1717" s="106"/>
      <c r="H1717" s="105"/>
    </row>
    <row r="1718">
      <c r="A1718" s="104"/>
      <c r="B1718" s="104"/>
      <c r="C1718" s="105"/>
      <c r="D1718" s="105"/>
      <c r="E1718" s="105"/>
      <c r="F1718" s="105"/>
      <c r="G1718" s="106"/>
      <c r="H1718" s="105"/>
    </row>
    <row r="1719">
      <c r="A1719" s="104"/>
      <c r="B1719" s="104"/>
      <c r="C1719" s="105"/>
      <c r="D1719" s="105"/>
      <c r="E1719" s="105"/>
      <c r="F1719" s="105"/>
      <c r="G1719" s="106"/>
      <c r="H1719" s="105"/>
    </row>
    <row r="1720">
      <c r="A1720" s="104"/>
      <c r="B1720" s="104"/>
      <c r="C1720" s="105"/>
      <c r="D1720" s="105"/>
      <c r="E1720" s="105"/>
      <c r="F1720" s="105"/>
      <c r="G1720" s="106"/>
      <c r="H1720" s="105"/>
    </row>
    <row r="1721">
      <c r="A1721" s="104"/>
      <c r="B1721" s="104"/>
      <c r="C1721" s="105"/>
      <c r="D1721" s="105"/>
      <c r="E1721" s="105"/>
      <c r="F1721" s="105"/>
      <c r="G1721" s="106"/>
      <c r="H1721" s="105"/>
    </row>
    <row r="1722">
      <c r="A1722" s="104"/>
      <c r="B1722" s="104"/>
      <c r="C1722" s="105"/>
      <c r="D1722" s="105"/>
      <c r="E1722" s="105"/>
      <c r="F1722" s="105"/>
      <c r="G1722" s="106"/>
      <c r="H1722" s="105"/>
    </row>
    <row r="1723">
      <c r="A1723" s="104"/>
      <c r="B1723" s="104"/>
      <c r="C1723" s="105"/>
      <c r="D1723" s="105"/>
      <c r="E1723" s="105"/>
      <c r="F1723" s="105"/>
      <c r="G1723" s="106"/>
      <c r="H1723" s="105"/>
    </row>
    <row r="1724">
      <c r="A1724" s="104"/>
      <c r="B1724" s="104"/>
      <c r="C1724" s="105"/>
      <c r="D1724" s="105"/>
      <c r="E1724" s="105"/>
      <c r="F1724" s="105"/>
      <c r="G1724" s="106"/>
      <c r="H1724" s="105"/>
    </row>
    <row r="1725">
      <c r="A1725" s="104"/>
      <c r="B1725" s="104"/>
      <c r="C1725" s="105"/>
      <c r="D1725" s="105"/>
      <c r="E1725" s="105"/>
      <c r="F1725" s="105"/>
      <c r="G1725" s="106"/>
      <c r="H1725" s="105"/>
    </row>
    <row r="1726">
      <c r="A1726" s="104"/>
      <c r="B1726" s="104"/>
      <c r="C1726" s="105"/>
      <c r="D1726" s="105"/>
      <c r="E1726" s="105"/>
      <c r="F1726" s="105"/>
      <c r="G1726" s="106"/>
      <c r="H1726" s="105"/>
    </row>
    <row r="1727">
      <c r="A1727" s="104"/>
      <c r="B1727" s="104"/>
      <c r="C1727" s="105"/>
      <c r="D1727" s="105"/>
      <c r="E1727" s="105"/>
      <c r="F1727" s="105"/>
      <c r="G1727" s="106"/>
      <c r="H1727" s="105"/>
    </row>
    <row r="1728">
      <c r="A1728" s="104"/>
      <c r="B1728" s="104"/>
      <c r="C1728" s="105"/>
      <c r="D1728" s="105"/>
      <c r="E1728" s="105"/>
      <c r="F1728" s="105"/>
      <c r="G1728" s="106"/>
      <c r="H1728" s="105"/>
    </row>
    <row r="1729">
      <c r="A1729" s="104"/>
      <c r="B1729" s="104"/>
      <c r="C1729" s="105"/>
      <c r="D1729" s="105"/>
      <c r="E1729" s="105"/>
      <c r="F1729" s="105"/>
      <c r="G1729" s="106"/>
      <c r="H1729" s="105"/>
    </row>
    <row r="1730">
      <c r="A1730" s="104"/>
      <c r="B1730" s="104"/>
      <c r="C1730" s="105"/>
      <c r="D1730" s="105"/>
      <c r="E1730" s="105"/>
      <c r="F1730" s="105"/>
      <c r="G1730" s="106"/>
      <c r="H1730" s="105"/>
    </row>
    <row r="1731">
      <c r="A1731" s="104"/>
      <c r="B1731" s="104"/>
      <c r="C1731" s="105"/>
      <c r="D1731" s="105"/>
      <c r="E1731" s="105"/>
      <c r="F1731" s="105"/>
      <c r="G1731" s="106"/>
      <c r="H1731" s="105"/>
    </row>
    <row r="1732">
      <c r="A1732" s="104"/>
      <c r="B1732" s="104"/>
      <c r="C1732" s="105"/>
      <c r="D1732" s="105"/>
      <c r="E1732" s="105"/>
      <c r="F1732" s="105"/>
      <c r="G1732" s="106"/>
      <c r="H1732" s="105"/>
    </row>
    <row r="1733">
      <c r="A1733" s="104"/>
      <c r="B1733" s="104"/>
      <c r="C1733" s="105"/>
      <c r="D1733" s="105"/>
      <c r="E1733" s="105"/>
      <c r="F1733" s="105"/>
      <c r="G1733" s="106"/>
      <c r="H1733" s="105"/>
    </row>
    <row r="1734">
      <c r="A1734" s="104"/>
      <c r="B1734" s="104"/>
      <c r="C1734" s="105"/>
      <c r="D1734" s="105"/>
      <c r="E1734" s="105"/>
      <c r="F1734" s="105"/>
      <c r="G1734" s="106"/>
      <c r="H1734" s="105"/>
    </row>
    <row r="1735">
      <c r="A1735" s="104"/>
      <c r="B1735" s="104"/>
      <c r="C1735" s="105"/>
      <c r="D1735" s="105"/>
      <c r="E1735" s="105"/>
      <c r="F1735" s="105"/>
      <c r="G1735" s="106"/>
      <c r="H1735" s="105"/>
    </row>
    <row r="1736">
      <c r="A1736" s="104"/>
      <c r="B1736" s="104"/>
      <c r="C1736" s="105"/>
      <c r="D1736" s="105"/>
      <c r="E1736" s="105"/>
      <c r="F1736" s="105"/>
      <c r="G1736" s="106"/>
      <c r="H1736" s="105"/>
    </row>
    <row r="1737">
      <c r="A1737" s="104"/>
      <c r="B1737" s="104"/>
      <c r="C1737" s="105"/>
      <c r="D1737" s="105"/>
      <c r="E1737" s="105"/>
      <c r="F1737" s="105"/>
      <c r="G1737" s="106"/>
      <c r="H1737" s="105"/>
    </row>
    <row r="1738">
      <c r="A1738" s="104"/>
      <c r="B1738" s="104"/>
      <c r="C1738" s="105"/>
      <c r="D1738" s="105"/>
      <c r="E1738" s="105"/>
      <c r="F1738" s="105"/>
      <c r="G1738" s="106"/>
      <c r="H1738" s="105"/>
    </row>
    <row r="1739">
      <c r="A1739" s="104"/>
      <c r="B1739" s="104"/>
      <c r="C1739" s="105"/>
      <c r="D1739" s="105"/>
      <c r="E1739" s="105"/>
      <c r="F1739" s="105"/>
      <c r="G1739" s="106"/>
      <c r="H1739" s="105"/>
    </row>
    <row r="1740">
      <c r="A1740" s="104"/>
      <c r="B1740" s="104"/>
      <c r="C1740" s="105"/>
      <c r="D1740" s="105"/>
      <c r="E1740" s="105"/>
      <c r="F1740" s="105"/>
      <c r="G1740" s="106"/>
      <c r="H1740" s="105"/>
    </row>
    <row r="1741">
      <c r="A1741" s="104"/>
      <c r="B1741" s="104"/>
      <c r="C1741" s="105"/>
      <c r="D1741" s="105"/>
      <c r="E1741" s="105"/>
      <c r="F1741" s="105"/>
      <c r="G1741" s="106"/>
      <c r="H1741" s="105"/>
    </row>
    <row r="1742">
      <c r="A1742" s="104"/>
      <c r="B1742" s="104"/>
      <c r="C1742" s="105"/>
      <c r="D1742" s="105"/>
      <c r="E1742" s="105"/>
      <c r="F1742" s="105"/>
      <c r="G1742" s="106"/>
      <c r="H1742" s="105"/>
    </row>
    <row r="1743">
      <c r="A1743" s="104"/>
      <c r="B1743" s="104"/>
      <c r="C1743" s="105"/>
      <c r="D1743" s="105"/>
      <c r="E1743" s="105"/>
      <c r="F1743" s="105"/>
      <c r="G1743" s="106"/>
      <c r="H1743" s="105"/>
    </row>
    <row r="1744">
      <c r="A1744" s="104"/>
      <c r="B1744" s="104"/>
      <c r="C1744" s="105"/>
      <c r="D1744" s="105"/>
      <c r="E1744" s="105"/>
      <c r="F1744" s="105"/>
      <c r="G1744" s="106"/>
      <c r="H1744" s="105"/>
    </row>
    <row r="1745">
      <c r="A1745" s="104"/>
      <c r="B1745" s="104"/>
      <c r="C1745" s="105"/>
      <c r="D1745" s="105"/>
      <c r="E1745" s="105"/>
      <c r="F1745" s="105"/>
      <c r="G1745" s="106"/>
      <c r="H1745" s="105"/>
    </row>
    <row r="1746">
      <c r="A1746" s="104"/>
      <c r="B1746" s="104"/>
      <c r="C1746" s="105"/>
      <c r="D1746" s="105"/>
      <c r="E1746" s="105"/>
      <c r="F1746" s="105"/>
      <c r="G1746" s="106"/>
      <c r="H1746" s="105"/>
    </row>
    <row r="1747">
      <c r="A1747" s="104"/>
      <c r="B1747" s="104"/>
      <c r="C1747" s="105"/>
      <c r="D1747" s="105"/>
      <c r="E1747" s="105"/>
      <c r="F1747" s="105"/>
      <c r="G1747" s="106"/>
      <c r="H1747" s="105"/>
    </row>
    <row r="1748">
      <c r="A1748" s="104"/>
      <c r="B1748" s="104"/>
      <c r="C1748" s="105"/>
      <c r="D1748" s="105"/>
      <c r="E1748" s="105"/>
      <c r="F1748" s="105"/>
      <c r="G1748" s="106"/>
      <c r="H1748" s="105"/>
    </row>
    <row r="1749">
      <c r="A1749" s="104"/>
      <c r="B1749" s="104"/>
      <c r="C1749" s="105"/>
      <c r="D1749" s="105"/>
      <c r="E1749" s="105"/>
      <c r="F1749" s="105"/>
      <c r="G1749" s="106"/>
      <c r="H1749" s="105"/>
    </row>
    <row r="1750">
      <c r="A1750" s="104"/>
      <c r="B1750" s="104"/>
      <c r="C1750" s="105"/>
      <c r="D1750" s="105"/>
      <c r="E1750" s="105"/>
      <c r="F1750" s="105"/>
      <c r="G1750" s="106"/>
      <c r="H1750" s="105"/>
    </row>
    <row r="1751">
      <c r="A1751" s="104"/>
      <c r="B1751" s="104"/>
      <c r="C1751" s="105"/>
      <c r="D1751" s="105"/>
      <c r="E1751" s="105"/>
      <c r="F1751" s="105"/>
      <c r="G1751" s="106"/>
      <c r="H1751" s="105"/>
    </row>
    <row r="1752">
      <c r="A1752" s="104"/>
      <c r="B1752" s="104"/>
      <c r="C1752" s="105"/>
      <c r="D1752" s="105"/>
      <c r="E1752" s="105"/>
      <c r="F1752" s="105"/>
      <c r="G1752" s="106"/>
      <c r="H1752" s="105"/>
    </row>
    <row r="1753">
      <c r="A1753" s="104"/>
      <c r="B1753" s="104"/>
      <c r="C1753" s="105"/>
      <c r="D1753" s="105"/>
      <c r="E1753" s="105"/>
      <c r="F1753" s="105"/>
      <c r="G1753" s="106"/>
      <c r="H1753" s="105"/>
    </row>
    <row r="1754">
      <c r="A1754" s="104"/>
      <c r="B1754" s="104"/>
      <c r="C1754" s="105"/>
      <c r="D1754" s="105"/>
      <c r="E1754" s="105"/>
      <c r="F1754" s="105"/>
      <c r="G1754" s="106"/>
      <c r="H1754" s="105"/>
    </row>
    <row r="1755">
      <c r="A1755" s="104"/>
      <c r="B1755" s="104"/>
      <c r="C1755" s="105"/>
      <c r="D1755" s="105"/>
      <c r="E1755" s="105"/>
      <c r="F1755" s="105"/>
      <c r="G1755" s="106"/>
      <c r="H1755" s="105"/>
    </row>
    <row r="1756">
      <c r="A1756" s="104"/>
      <c r="B1756" s="104"/>
      <c r="C1756" s="105"/>
      <c r="D1756" s="105"/>
      <c r="E1756" s="105"/>
      <c r="F1756" s="105"/>
      <c r="G1756" s="106"/>
      <c r="H1756" s="105"/>
    </row>
    <row r="1757">
      <c r="A1757" s="104"/>
      <c r="B1757" s="104"/>
      <c r="C1757" s="105"/>
      <c r="D1757" s="105"/>
      <c r="E1757" s="105"/>
      <c r="F1757" s="105"/>
      <c r="G1757" s="106"/>
      <c r="H1757" s="105"/>
    </row>
    <row r="1758">
      <c r="A1758" s="104"/>
      <c r="B1758" s="104"/>
      <c r="C1758" s="105"/>
      <c r="D1758" s="105"/>
      <c r="E1758" s="105"/>
      <c r="F1758" s="105"/>
      <c r="G1758" s="106"/>
      <c r="H1758" s="105"/>
    </row>
    <row r="1759">
      <c r="A1759" s="104"/>
      <c r="B1759" s="104"/>
      <c r="C1759" s="105"/>
      <c r="D1759" s="105"/>
      <c r="E1759" s="105"/>
      <c r="F1759" s="105"/>
      <c r="G1759" s="106"/>
      <c r="H1759" s="105"/>
    </row>
    <row r="1760">
      <c r="A1760" s="104"/>
      <c r="B1760" s="104"/>
      <c r="C1760" s="105"/>
      <c r="D1760" s="105"/>
      <c r="E1760" s="105"/>
      <c r="F1760" s="105"/>
      <c r="G1760" s="106"/>
      <c r="H1760" s="105"/>
    </row>
    <row r="1761">
      <c r="A1761" s="104"/>
      <c r="B1761" s="104"/>
      <c r="C1761" s="105"/>
      <c r="D1761" s="105"/>
      <c r="E1761" s="105"/>
      <c r="F1761" s="105"/>
      <c r="G1761" s="106"/>
      <c r="H1761" s="105"/>
    </row>
    <row r="1762">
      <c r="A1762" s="104"/>
      <c r="B1762" s="104"/>
      <c r="C1762" s="105"/>
      <c r="D1762" s="105"/>
      <c r="E1762" s="105"/>
      <c r="F1762" s="105"/>
      <c r="G1762" s="106"/>
      <c r="H1762" s="105"/>
    </row>
    <row r="1763">
      <c r="A1763" s="104"/>
      <c r="B1763" s="104"/>
      <c r="C1763" s="105"/>
      <c r="D1763" s="105"/>
      <c r="E1763" s="105"/>
      <c r="F1763" s="105"/>
      <c r="G1763" s="106"/>
      <c r="H1763" s="105"/>
    </row>
    <row r="1764">
      <c r="A1764" s="104"/>
      <c r="B1764" s="104"/>
      <c r="C1764" s="105"/>
      <c r="D1764" s="105"/>
      <c r="E1764" s="105"/>
      <c r="F1764" s="105"/>
      <c r="G1764" s="106"/>
      <c r="H1764" s="105"/>
    </row>
    <row r="1765">
      <c r="A1765" s="104"/>
      <c r="B1765" s="104"/>
      <c r="C1765" s="105"/>
      <c r="D1765" s="105"/>
      <c r="E1765" s="105"/>
      <c r="F1765" s="105"/>
      <c r="G1765" s="106"/>
      <c r="H1765" s="105"/>
    </row>
    <row r="1766">
      <c r="A1766" s="104"/>
      <c r="B1766" s="104"/>
      <c r="C1766" s="105"/>
      <c r="D1766" s="105"/>
      <c r="E1766" s="105"/>
      <c r="F1766" s="105"/>
      <c r="G1766" s="106"/>
      <c r="H1766" s="105"/>
    </row>
    <row r="1767">
      <c r="A1767" s="104"/>
      <c r="B1767" s="104"/>
      <c r="C1767" s="105"/>
      <c r="D1767" s="105"/>
      <c r="E1767" s="105"/>
      <c r="F1767" s="105"/>
      <c r="G1767" s="106"/>
      <c r="H1767" s="105"/>
    </row>
    <row r="1768">
      <c r="A1768" s="104"/>
      <c r="B1768" s="104"/>
      <c r="C1768" s="105"/>
      <c r="D1768" s="105"/>
      <c r="E1768" s="105"/>
      <c r="F1768" s="105"/>
      <c r="G1768" s="106"/>
      <c r="H1768" s="105"/>
    </row>
    <row r="1769">
      <c r="A1769" s="104"/>
      <c r="B1769" s="104"/>
      <c r="C1769" s="105"/>
      <c r="D1769" s="105"/>
      <c r="E1769" s="105"/>
      <c r="F1769" s="105"/>
      <c r="G1769" s="106"/>
      <c r="H1769" s="105"/>
    </row>
    <row r="1770">
      <c r="A1770" s="104"/>
      <c r="B1770" s="104"/>
      <c r="C1770" s="105"/>
      <c r="D1770" s="105"/>
      <c r="E1770" s="105"/>
      <c r="F1770" s="105"/>
      <c r="G1770" s="106"/>
      <c r="H1770" s="105"/>
    </row>
    <row r="1771">
      <c r="A1771" s="104"/>
      <c r="B1771" s="104"/>
      <c r="C1771" s="105"/>
      <c r="D1771" s="105"/>
      <c r="E1771" s="105"/>
      <c r="F1771" s="105"/>
      <c r="G1771" s="106"/>
      <c r="H1771" s="105"/>
    </row>
    <row r="1772">
      <c r="A1772" s="104"/>
      <c r="B1772" s="104"/>
      <c r="C1772" s="105"/>
      <c r="D1772" s="105"/>
      <c r="E1772" s="105"/>
      <c r="F1772" s="105"/>
      <c r="G1772" s="106"/>
      <c r="H1772" s="105"/>
    </row>
    <row r="1773">
      <c r="A1773" s="104"/>
      <c r="B1773" s="104"/>
      <c r="C1773" s="105"/>
      <c r="D1773" s="105"/>
      <c r="E1773" s="105"/>
      <c r="F1773" s="105"/>
      <c r="G1773" s="106"/>
      <c r="H1773" s="105"/>
    </row>
    <row r="1774">
      <c r="A1774" s="104"/>
      <c r="B1774" s="104"/>
      <c r="C1774" s="105"/>
      <c r="D1774" s="105"/>
      <c r="E1774" s="105"/>
      <c r="F1774" s="105"/>
      <c r="G1774" s="106"/>
      <c r="H1774" s="105"/>
    </row>
    <row r="1775">
      <c r="A1775" s="104"/>
      <c r="B1775" s="104"/>
      <c r="C1775" s="105"/>
      <c r="D1775" s="105"/>
      <c r="E1775" s="105"/>
      <c r="F1775" s="105"/>
      <c r="G1775" s="106"/>
      <c r="H1775" s="105"/>
    </row>
    <row r="1776">
      <c r="A1776" s="104"/>
      <c r="B1776" s="104"/>
      <c r="C1776" s="105"/>
      <c r="D1776" s="105"/>
      <c r="E1776" s="105"/>
      <c r="F1776" s="105"/>
      <c r="G1776" s="106"/>
      <c r="H1776" s="105"/>
    </row>
    <row r="1777">
      <c r="A1777" s="104"/>
      <c r="B1777" s="104"/>
      <c r="C1777" s="105"/>
      <c r="D1777" s="105"/>
      <c r="E1777" s="105"/>
      <c r="F1777" s="105"/>
      <c r="G1777" s="106"/>
      <c r="H1777" s="105"/>
    </row>
    <row r="1778">
      <c r="A1778" s="104"/>
      <c r="B1778" s="104"/>
      <c r="C1778" s="105"/>
      <c r="D1778" s="105"/>
      <c r="E1778" s="105"/>
      <c r="F1778" s="105"/>
      <c r="G1778" s="106"/>
      <c r="H1778" s="105"/>
    </row>
    <row r="1779">
      <c r="A1779" s="104"/>
      <c r="B1779" s="104"/>
      <c r="C1779" s="105"/>
      <c r="D1779" s="105"/>
      <c r="E1779" s="105"/>
      <c r="F1779" s="105"/>
      <c r="G1779" s="106"/>
      <c r="H1779" s="105"/>
    </row>
    <row r="1780">
      <c r="A1780" s="104"/>
      <c r="B1780" s="104"/>
      <c r="C1780" s="105"/>
      <c r="D1780" s="105"/>
      <c r="E1780" s="105"/>
      <c r="F1780" s="105"/>
      <c r="G1780" s="106"/>
      <c r="H1780" s="105"/>
    </row>
    <row r="1781">
      <c r="A1781" s="104"/>
      <c r="B1781" s="104"/>
      <c r="C1781" s="105"/>
      <c r="D1781" s="105"/>
      <c r="E1781" s="105"/>
      <c r="F1781" s="105"/>
      <c r="G1781" s="106"/>
      <c r="H1781" s="105"/>
    </row>
    <row r="1782">
      <c r="A1782" s="104"/>
      <c r="B1782" s="104"/>
      <c r="C1782" s="105"/>
      <c r="D1782" s="105"/>
      <c r="E1782" s="105"/>
      <c r="F1782" s="105"/>
      <c r="G1782" s="106"/>
      <c r="H1782" s="105"/>
    </row>
    <row r="1783">
      <c r="A1783" s="104"/>
      <c r="B1783" s="104"/>
      <c r="C1783" s="105"/>
      <c r="D1783" s="105"/>
      <c r="E1783" s="105"/>
      <c r="F1783" s="105"/>
      <c r="G1783" s="106"/>
      <c r="H1783" s="105"/>
    </row>
    <row r="1784">
      <c r="A1784" s="104"/>
      <c r="B1784" s="104"/>
      <c r="C1784" s="105"/>
      <c r="D1784" s="105"/>
      <c r="E1784" s="105"/>
      <c r="F1784" s="105"/>
      <c r="G1784" s="106"/>
      <c r="H1784" s="105"/>
    </row>
    <row r="1785">
      <c r="A1785" s="104"/>
      <c r="B1785" s="104"/>
      <c r="C1785" s="105"/>
      <c r="D1785" s="105"/>
      <c r="E1785" s="105"/>
      <c r="F1785" s="105"/>
      <c r="G1785" s="106"/>
      <c r="H1785" s="105"/>
    </row>
    <row r="1786">
      <c r="A1786" s="104"/>
      <c r="B1786" s="104"/>
      <c r="C1786" s="105"/>
      <c r="D1786" s="105"/>
      <c r="E1786" s="105"/>
      <c r="F1786" s="105"/>
      <c r="G1786" s="106"/>
      <c r="H1786" s="105"/>
    </row>
    <row r="1787">
      <c r="A1787" s="104"/>
      <c r="B1787" s="104"/>
      <c r="C1787" s="105"/>
      <c r="D1787" s="105"/>
      <c r="E1787" s="105"/>
      <c r="F1787" s="105"/>
      <c r="G1787" s="106"/>
      <c r="H1787" s="105"/>
    </row>
    <row r="1788">
      <c r="A1788" s="104"/>
      <c r="B1788" s="104"/>
      <c r="C1788" s="105"/>
      <c r="D1788" s="105"/>
      <c r="E1788" s="105"/>
      <c r="F1788" s="105"/>
      <c r="G1788" s="106"/>
      <c r="H1788" s="105"/>
    </row>
    <row r="1789">
      <c r="A1789" s="104"/>
      <c r="B1789" s="104"/>
      <c r="C1789" s="105"/>
      <c r="D1789" s="105"/>
      <c r="E1789" s="105"/>
      <c r="F1789" s="105"/>
      <c r="G1789" s="106"/>
      <c r="H1789" s="105"/>
    </row>
    <row r="1790">
      <c r="A1790" s="104"/>
      <c r="B1790" s="104"/>
      <c r="C1790" s="105"/>
      <c r="D1790" s="105"/>
      <c r="E1790" s="105"/>
      <c r="F1790" s="105"/>
      <c r="G1790" s="106"/>
      <c r="H1790" s="105"/>
    </row>
    <row r="1791">
      <c r="A1791" s="104"/>
      <c r="B1791" s="104"/>
      <c r="C1791" s="105"/>
      <c r="D1791" s="105"/>
      <c r="E1791" s="105"/>
      <c r="F1791" s="105"/>
      <c r="G1791" s="106"/>
      <c r="H1791" s="105"/>
    </row>
    <row r="1792">
      <c r="A1792" s="104"/>
      <c r="B1792" s="104"/>
      <c r="C1792" s="105"/>
      <c r="D1792" s="105"/>
      <c r="E1792" s="105"/>
      <c r="F1792" s="105"/>
      <c r="G1792" s="106"/>
      <c r="H1792" s="105"/>
    </row>
    <row r="1793">
      <c r="A1793" s="104"/>
      <c r="B1793" s="104"/>
      <c r="C1793" s="105"/>
      <c r="D1793" s="105"/>
      <c r="E1793" s="105"/>
      <c r="F1793" s="105"/>
      <c r="G1793" s="106"/>
      <c r="H1793" s="105"/>
    </row>
    <row r="1794">
      <c r="A1794" s="104"/>
      <c r="B1794" s="104"/>
      <c r="C1794" s="105"/>
      <c r="D1794" s="105"/>
      <c r="E1794" s="105"/>
      <c r="F1794" s="105"/>
      <c r="G1794" s="106"/>
      <c r="H1794" s="105"/>
    </row>
    <row r="1795">
      <c r="A1795" s="104"/>
      <c r="B1795" s="104"/>
      <c r="C1795" s="105"/>
      <c r="D1795" s="105"/>
      <c r="E1795" s="105"/>
      <c r="F1795" s="105"/>
      <c r="G1795" s="106"/>
      <c r="H1795" s="105"/>
    </row>
    <row r="1796">
      <c r="A1796" s="104"/>
      <c r="B1796" s="104"/>
      <c r="C1796" s="105"/>
      <c r="D1796" s="105"/>
      <c r="E1796" s="105"/>
      <c r="F1796" s="105"/>
      <c r="G1796" s="106"/>
      <c r="H1796" s="105"/>
    </row>
    <row r="1797">
      <c r="A1797" s="104"/>
      <c r="B1797" s="104"/>
      <c r="C1797" s="105"/>
      <c r="D1797" s="105"/>
      <c r="E1797" s="105"/>
      <c r="F1797" s="105"/>
      <c r="G1797" s="106"/>
      <c r="H1797" s="105"/>
    </row>
    <row r="1798">
      <c r="A1798" s="104"/>
      <c r="B1798" s="104"/>
      <c r="C1798" s="105"/>
      <c r="D1798" s="105"/>
      <c r="E1798" s="105"/>
      <c r="F1798" s="105"/>
      <c r="G1798" s="106"/>
      <c r="H1798" s="105"/>
    </row>
    <row r="1799">
      <c r="A1799" s="104"/>
      <c r="B1799" s="104"/>
      <c r="C1799" s="105"/>
      <c r="D1799" s="105"/>
      <c r="E1799" s="105"/>
      <c r="F1799" s="105"/>
      <c r="G1799" s="106"/>
      <c r="H1799" s="105"/>
    </row>
    <row r="1800">
      <c r="A1800" s="104"/>
      <c r="B1800" s="104"/>
      <c r="C1800" s="105"/>
      <c r="D1800" s="105"/>
      <c r="E1800" s="105"/>
      <c r="F1800" s="105"/>
      <c r="G1800" s="106"/>
      <c r="H1800" s="105"/>
    </row>
    <row r="1801">
      <c r="A1801" s="104"/>
      <c r="B1801" s="104"/>
      <c r="C1801" s="105"/>
      <c r="D1801" s="105"/>
      <c r="E1801" s="105"/>
      <c r="F1801" s="105"/>
      <c r="G1801" s="106"/>
      <c r="H1801" s="105"/>
    </row>
    <row r="1802">
      <c r="A1802" s="104"/>
      <c r="B1802" s="104"/>
      <c r="C1802" s="105"/>
      <c r="D1802" s="105"/>
      <c r="E1802" s="105"/>
      <c r="F1802" s="105"/>
      <c r="G1802" s="106"/>
      <c r="H1802" s="105"/>
    </row>
    <row r="1803">
      <c r="A1803" s="104"/>
      <c r="B1803" s="104"/>
      <c r="C1803" s="105"/>
      <c r="D1803" s="105"/>
      <c r="E1803" s="105"/>
      <c r="F1803" s="105"/>
      <c r="G1803" s="106"/>
      <c r="H1803" s="105"/>
    </row>
    <row r="1804">
      <c r="A1804" s="104"/>
      <c r="B1804" s="104"/>
      <c r="C1804" s="105"/>
      <c r="D1804" s="105"/>
      <c r="E1804" s="105"/>
      <c r="F1804" s="105"/>
      <c r="G1804" s="106"/>
      <c r="H1804" s="105"/>
    </row>
    <row r="1805">
      <c r="A1805" s="104"/>
      <c r="B1805" s="104"/>
      <c r="C1805" s="105"/>
      <c r="D1805" s="105"/>
      <c r="E1805" s="105"/>
      <c r="F1805" s="105"/>
      <c r="G1805" s="106"/>
      <c r="H1805" s="105"/>
    </row>
    <row r="1806">
      <c r="A1806" s="104"/>
      <c r="B1806" s="104"/>
      <c r="C1806" s="105"/>
      <c r="D1806" s="105"/>
      <c r="E1806" s="105"/>
      <c r="F1806" s="105"/>
      <c r="G1806" s="106"/>
      <c r="H1806" s="105"/>
    </row>
    <row r="1807">
      <c r="A1807" s="104"/>
      <c r="B1807" s="104"/>
      <c r="C1807" s="105"/>
      <c r="D1807" s="105"/>
      <c r="E1807" s="105"/>
      <c r="F1807" s="105"/>
      <c r="G1807" s="106"/>
      <c r="H1807" s="105"/>
    </row>
    <row r="1808">
      <c r="A1808" s="104"/>
      <c r="B1808" s="104"/>
      <c r="C1808" s="105"/>
      <c r="D1808" s="105"/>
      <c r="E1808" s="105"/>
      <c r="F1808" s="105"/>
      <c r="G1808" s="106"/>
      <c r="H1808" s="105"/>
    </row>
    <row r="1809">
      <c r="A1809" s="104"/>
      <c r="B1809" s="104"/>
      <c r="C1809" s="105"/>
      <c r="D1809" s="105"/>
      <c r="E1809" s="105"/>
      <c r="F1809" s="105"/>
      <c r="G1809" s="106"/>
      <c r="H1809" s="105"/>
    </row>
    <row r="1810">
      <c r="A1810" s="104"/>
      <c r="B1810" s="104"/>
      <c r="C1810" s="105"/>
      <c r="D1810" s="105"/>
      <c r="E1810" s="105"/>
      <c r="F1810" s="105"/>
      <c r="G1810" s="106"/>
      <c r="H1810" s="105"/>
    </row>
    <row r="1811">
      <c r="A1811" s="104"/>
      <c r="B1811" s="104"/>
      <c r="C1811" s="105"/>
      <c r="D1811" s="105"/>
      <c r="E1811" s="105"/>
      <c r="F1811" s="105"/>
      <c r="G1811" s="106"/>
      <c r="H1811" s="105"/>
    </row>
    <row r="1812">
      <c r="A1812" s="104"/>
      <c r="B1812" s="104"/>
      <c r="C1812" s="105"/>
      <c r="D1812" s="105"/>
      <c r="E1812" s="105"/>
      <c r="F1812" s="105"/>
      <c r="G1812" s="106"/>
      <c r="H1812" s="105"/>
    </row>
    <row r="1813">
      <c r="A1813" s="104"/>
      <c r="B1813" s="104"/>
      <c r="C1813" s="105"/>
      <c r="D1813" s="105"/>
      <c r="E1813" s="105"/>
      <c r="F1813" s="105"/>
      <c r="G1813" s="106"/>
      <c r="H1813" s="105"/>
    </row>
    <row r="1814">
      <c r="A1814" s="104"/>
      <c r="B1814" s="104"/>
      <c r="C1814" s="105"/>
      <c r="D1814" s="105"/>
      <c r="E1814" s="105"/>
      <c r="F1814" s="105"/>
      <c r="G1814" s="106"/>
      <c r="H1814" s="105"/>
    </row>
    <row r="1815">
      <c r="A1815" s="104"/>
      <c r="B1815" s="104"/>
      <c r="C1815" s="105"/>
      <c r="D1815" s="105"/>
      <c r="E1815" s="105"/>
      <c r="F1815" s="105"/>
      <c r="G1815" s="106"/>
      <c r="H1815" s="105"/>
    </row>
    <row r="1816">
      <c r="A1816" s="104"/>
      <c r="B1816" s="104"/>
      <c r="C1816" s="105"/>
      <c r="D1816" s="105"/>
      <c r="E1816" s="105"/>
      <c r="F1816" s="105"/>
      <c r="G1816" s="106"/>
      <c r="H1816" s="105"/>
    </row>
    <row r="1817">
      <c r="A1817" s="104"/>
      <c r="B1817" s="104"/>
      <c r="C1817" s="105"/>
      <c r="D1817" s="105"/>
      <c r="E1817" s="105"/>
      <c r="F1817" s="105"/>
      <c r="G1817" s="106"/>
      <c r="H1817" s="105"/>
    </row>
    <row r="1818">
      <c r="A1818" s="104"/>
      <c r="B1818" s="104"/>
      <c r="C1818" s="105"/>
      <c r="D1818" s="105"/>
      <c r="E1818" s="105"/>
      <c r="F1818" s="105"/>
      <c r="G1818" s="106"/>
      <c r="H1818" s="105"/>
    </row>
    <row r="1819">
      <c r="A1819" s="104"/>
      <c r="B1819" s="104"/>
      <c r="C1819" s="105"/>
      <c r="D1819" s="105"/>
      <c r="E1819" s="105"/>
      <c r="F1819" s="105"/>
      <c r="G1819" s="106"/>
      <c r="H1819" s="105"/>
    </row>
    <row r="1820">
      <c r="A1820" s="104"/>
      <c r="B1820" s="104"/>
      <c r="C1820" s="105"/>
      <c r="D1820" s="105"/>
      <c r="E1820" s="105"/>
      <c r="F1820" s="105"/>
      <c r="G1820" s="106"/>
      <c r="H1820" s="105"/>
    </row>
    <row r="1821">
      <c r="A1821" s="104"/>
      <c r="B1821" s="104"/>
      <c r="C1821" s="105"/>
      <c r="D1821" s="105"/>
      <c r="E1821" s="105"/>
      <c r="F1821" s="105"/>
      <c r="G1821" s="106"/>
      <c r="H1821" s="105"/>
    </row>
    <row r="1822">
      <c r="A1822" s="104"/>
      <c r="B1822" s="104"/>
      <c r="C1822" s="105"/>
      <c r="D1822" s="105"/>
      <c r="E1822" s="105"/>
      <c r="F1822" s="105"/>
      <c r="G1822" s="106"/>
      <c r="H1822" s="105"/>
    </row>
    <row r="1823">
      <c r="A1823" s="104"/>
      <c r="B1823" s="104"/>
      <c r="C1823" s="105"/>
      <c r="D1823" s="105"/>
      <c r="E1823" s="105"/>
      <c r="F1823" s="105"/>
      <c r="G1823" s="106"/>
      <c r="H1823" s="105"/>
    </row>
    <row r="1824">
      <c r="A1824" s="104"/>
      <c r="B1824" s="104"/>
      <c r="C1824" s="105"/>
      <c r="D1824" s="105"/>
      <c r="E1824" s="105"/>
      <c r="F1824" s="105"/>
      <c r="G1824" s="106"/>
      <c r="H1824" s="105"/>
    </row>
    <row r="1825">
      <c r="A1825" s="104"/>
      <c r="B1825" s="104"/>
      <c r="C1825" s="105"/>
      <c r="D1825" s="105"/>
      <c r="E1825" s="105"/>
      <c r="F1825" s="105"/>
      <c r="G1825" s="106"/>
      <c r="H1825" s="105"/>
    </row>
    <row r="1826">
      <c r="A1826" s="104"/>
      <c r="B1826" s="104"/>
      <c r="C1826" s="105"/>
      <c r="D1826" s="105"/>
      <c r="E1826" s="105"/>
      <c r="F1826" s="105"/>
      <c r="G1826" s="106"/>
      <c r="H1826" s="105"/>
    </row>
    <row r="1827">
      <c r="A1827" s="104"/>
      <c r="B1827" s="104"/>
      <c r="C1827" s="105"/>
      <c r="D1827" s="105"/>
      <c r="E1827" s="105"/>
      <c r="F1827" s="105"/>
      <c r="G1827" s="106"/>
      <c r="H1827" s="105"/>
    </row>
    <row r="1828">
      <c r="A1828" s="104"/>
      <c r="B1828" s="104"/>
      <c r="C1828" s="105"/>
      <c r="D1828" s="105"/>
      <c r="E1828" s="105"/>
      <c r="F1828" s="105"/>
      <c r="G1828" s="106"/>
      <c r="H1828" s="105"/>
    </row>
    <row r="1829">
      <c r="A1829" s="104"/>
      <c r="B1829" s="104"/>
      <c r="C1829" s="105"/>
      <c r="D1829" s="105"/>
      <c r="E1829" s="105"/>
      <c r="F1829" s="105"/>
      <c r="G1829" s="106"/>
      <c r="H1829" s="105"/>
    </row>
    <row r="1830">
      <c r="A1830" s="104"/>
      <c r="B1830" s="104"/>
      <c r="C1830" s="105"/>
      <c r="D1830" s="105"/>
      <c r="E1830" s="105"/>
      <c r="F1830" s="105"/>
      <c r="G1830" s="106"/>
      <c r="H1830" s="105"/>
    </row>
    <row r="1831">
      <c r="A1831" s="104"/>
      <c r="B1831" s="104"/>
      <c r="C1831" s="105"/>
      <c r="D1831" s="105"/>
      <c r="E1831" s="105"/>
      <c r="F1831" s="105"/>
      <c r="G1831" s="106"/>
      <c r="H1831" s="105"/>
    </row>
    <row r="1832">
      <c r="A1832" s="104"/>
      <c r="B1832" s="104"/>
      <c r="C1832" s="105"/>
      <c r="D1832" s="105"/>
      <c r="E1832" s="105"/>
      <c r="F1832" s="105"/>
      <c r="G1832" s="106"/>
      <c r="H1832" s="105"/>
    </row>
    <row r="1833">
      <c r="A1833" s="104"/>
      <c r="B1833" s="104"/>
      <c r="C1833" s="105"/>
      <c r="D1833" s="105"/>
      <c r="E1833" s="105"/>
      <c r="F1833" s="105"/>
      <c r="G1833" s="106"/>
      <c r="H1833" s="105"/>
    </row>
    <row r="1834">
      <c r="A1834" s="104"/>
      <c r="B1834" s="104"/>
      <c r="C1834" s="105"/>
      <c r="D1834" s="105"/>
      <c r="E1834" s="105"/>
      <c r="F1834" s="105"/>
      <c r="G1834" s="106"/>
      <c r="H1834" s="105"/>
    </row>
    <row r="1835">
      <c r="A1835" s="104"/>
      <c r="B1835" s="104"/>
      <c r="C1835" s="105"/>
      <c r="D1835" s="105"/>
      <c r="E1835" s="105"/>
      <c r="F1835" s="105"/>
      <c r="G1835" s="106"/>
      <c r="H1835" s="105"/>
    </row>
    <row r="1836">
      <c r="A1836" s="104"/>
      <c r="B1836" s="104"/>
      <c r="C1836" s="105"/>
      <c r="D1836" s="105"/>
      <c r="E1836" s="105"/>
      <c r="F1836" s="105"/>
      <c r="G1836" s="106"/>
      <c r="H1836" s="105"/>
    </row>
    <row r="1837">
      <c r="A1837" s="104"/>
      <c r="B1837" s="104"/>
      <c r="C1837" s="105"/>
      <c r="D1837" s="105"/>
      <c r="E1837" s="105"/>
      <c r="F1837" s="105"/>
      <c r="G1837" s="106"/>
      <c r="H1837" s="105"/>
    </row>
    <row r="1838">
      <c r="A1838" s="104"/>
      <c r="B1838" s="104"/>
      <c r="C1838" s="105"/>
      <c r="D1838" s="105"/>
      <c r="E1838" s="105"/>
      <c r="F1838" s="105"/>
      <c r="G1838" s="106"/>
      <c r="H1838" s="105"/>
    </row>
    <row r="1839">
      <c r="A1839" s="104"/>
      <c r="B1839" s="104"/>
      <c r="C1839" s="105"/>
      <c r="D1839" s="105"/>
      <c r="E1839" s="105"/>
      <c r="F1839" s="105"/>
      <c r="G1839" s="106"/>
      <c r="H1839" s="105"/>
    </row>
    <row r="1840">
      <c r="A1840" s="104"/>
      <c r="B1840" s="104"/>
      <c r="C1840" s="105"/>
      <c r="D1840" s="105"/>
      <c r="E1840" s="105"/>
      <c r="F1840" s="105"/>
      <c r="G1840" s="106"/>
      <c r="H1840" s="105"/>
    </row>
    <row r="1841">
      <c r="A1841" s="104"/>
      <c r="B1841" s="104"/>
      <c r="C1841" s="105"/>
      <c r="D1841" s="105"/>
      <c r="E1841" s="105"/>
      <c r="F1841" s="105"/>
      <c r="G1841" s="106"/>
      <c r="H1841" s="105"/>
    </row>
    <row r="1842">
      <c r="A1842" s="104"/>
      <c r="B1842" s="104"/>
      <c r="C1842" s="105"/>
      <c r="D1842" s="105"/>
      <c r="E1842" s="105"/>
      <c r="F1842" s="105"/>
      <c r="G1842" s="106"/>
      <c r="H1842" s="105"/>
    </row>
    <row r="1843">
      <c r="A1843" s="104"/>
      <c r="B1843" s="104"/>
      <c r="C1843" s="105"/>
      <c r="D1843" s="105"/>
      <c r="E1843" s="105"/>
      <c r="F1843" s="105"/>
      <c r="G1843" s="106"/>
      <c r="H1843" s="105"/>
    </row>
    <row r="1844">
      <c r="A1844" s="104"/>
      <c r="B1844" s="104"/>
      <c r="C1844" s="105"/>
      <c r="D1844" s="105"/>
      <c r="E1844" s="105"/>
      <c r="F1844" s="105"/>
      <c r="G1844" s="106"/>
      <c r="H1844" s="105"/>
    </row>
    <row r="1845">
      <c r="A1845" s="104"/>
      <c r="B1845" s="104"/>
      <c r="C1845" s="105"/>
      <c r="D1845" s="105"/>
      <c r="E1845" s="105"/>
      <c r="F1845" s="105"/>
      <c r="G1845" s="106"/>
      <c r="H1845" s="105"/>
    </row>
    <row r="1846">
      <c r="A1846" s="104"/>
      <c r="B1846" s="104"/>
      <c r="C1846" s="105"/>
      <c r="D1846" s="105"/>
      <c r="E1846" s="105"/>
      <c r="F1846" s="105"/>
      <c r="G1846" s="106"/>
      <c r="H1846" s="105"/>
    </row>
    <row r="1847">
      <c r="A1847" s="104"/>
      <c r="B1847" s="104"/>
      <c r="C1847" s="105"/>
      <c r="D1847" s="105"/>
      <c r="E1847" s="105"/>
      <c r="F1847" s="105"/>
      <c r="G1847" s="106"/>
      <c r="H1847" s="105"/>
    </row>
    <row r="1848">
      <c r="A1848" s="104"/>
      <c r="B1848" s="104"/>
      <c r="C1848" s="105"/>
      <c r="D1848" s="105"/>
      <c r="E1848" s="105"/>
      <c r="F1848" s="105"/>
      <c r="G1848" s="106"/>
      <c r="H1848" s="105"/>
    </row>
    <row r="1849">
      <c r="A1849" s="104"/>
      <c r="B1849" s="104"/>
      <c r="C1849" s="105"/>
      <c r="D1849" s="105"/>
      <c r="E1849" s="105"/>
      <c r="F1849" s="105"/>
      <c r="G1849" s="106"/>
      <c r="H1849" s="105"/>
    </row>
    <row r="1850">
      <c r="A1850" s="104"/>
      <c r="B1850" s="104"/>
      <c r="C1850" s="105"/>
      <c r="D1850" s="105"/>
      <c r="E1850" s="105"/>
      <c r="F1850" s="105"/>
      <c r="G1850" s="106"/>
      <c r="H1850" s="105"/>
    </row>
    <row r="1851">
      <c r="A1851" s="104"/>
      <c r="B1851" s="104"/>
      <c r="C1851" s="105"/>
      <c r="D1851" s="105"/>
      <c r="E1851" s="105"/>
      <c r="F1851" s="105"/>
      <c r="G1851" s="106"/>
      <c r="H1851" s="105"/>
    </row>
    <row r="1852">
      <c r="A1852" s="104"/>
      <c r="B1852" s="104"/>
      <c r="C1852" s="105"/>
      <c r="D1852" s="105"/>
      <c r="E1852" s="105"/>
      <c r="F1852" s="105"/>
      <c r="G1852" s="106"/>
      <c r="H1852" s="105"/>
    </row>
    <row r="1853">
      <c r="A1853" s="104"/>
      <c r="B1853" s="104"/>
      <c r="C1853" s="105"/>
      <c r="D1853" s="105"/>
      <c r="E1853" s="105"/>
      <c r="F1853" s="105"/>
      <c r="G1853" s="106"/>
      <c r="H1853" s="105"/>
    </row>
    <row r="1854">
      <c r="A1854" s="104"/>
      <c r="B1854" s="104"/>
      <c r="C1854" s="105"/>
      <c r="D1854" s="105"/>
      <c r="E1854" s="105"/>
      <c r="F1854" s="105"/>
      <c r="G1854" s="106"/>
      <c r="H1854" s="105"/>
    </row>
    <row r="1855">
      <c r="A1855" s="104"/>
      <c r="B1855" s="104"/>
      <c r="C1855" s="105"/>
      <c r="D1855" s="105"/>
      <c r="E1855" s="105"/>
      <c r="F1855" s="105"/>
      <c r="G1855" s="106"/>
      <c r="H1855" s="105"/>
    </row>
    <row r="1856">
      <c r="A1856" s="104"/>
      <c r="B1856" s="104"/>
      <c r="C1856" s="105"/>
      <c r="D1856" s="105"/>
      <c r="E1856" s="105"/>
      <c r="F1856" s="105"/>
      <c r="G1856" s="106"/>
      <c r="H1856" s="105"/>
    </row>
    <row r="1857">
      <c r="A1857" s="104"/>
      <c r="B1857" s="104"/>
      <c r="C1857" s="105"/>
      <c r="D1857" s="105"/>
      <c r="E1857" s="105"/>
      <c r="F1857" s="105"/>
      <c r="G1857" s="106"/>
      <c r="H1857" s="105"/>
    </row>
    <row r="1858">
      <c r="A1858" s="104"/>
      <c r="B1858" s="104"/>
      <c r="C1858" s="105"/>
      <c r="D1858" s="105"/>
      <c r="E1858" s="105"/>
      <c r="F1858" s="105"/>
      <c r="G1858" s="106"/>
      <c r="H1858" s="105"/>
    </row>
    <row r="1859">
      <c r="A1859" s="104"/>
      <c r="B1859" s="104"/>
      <c r="C1859" s="105"/>
      <c r="D1859" s="105"/>
      <c r="E1859" s="105"/>
      <c r="F1859" s="105"/>
      <c r="G1859" s="106"/>
      <c r="H1859" s="105"/>
    </row>
    <row r="1860">
      <c r="A1860" s="104"/>
      <c r="B1860" s="104"/>
      <c r="C1860" s="105"/>
      <c r="D1860" s="105"/>
      <c r="E1860" s="105"/>
      <c r="F1860" s="105"/>
      <c r="G1860" s="106"/>
      <c r="H1860" s="105"/>
    </row>
    <row r="1861">
      <c r="A1861" s="104"/>
      <c r="B1861" s="104"/>
      <c r="C1861" s="105"/>
      <c r="D1861" s="105"/>
      <c r="E1861" s="105"/>
      <c r="F1861" s="105"/>
      <c r="G1861" s="106"/>
      <c r="H1861" s="105"/>
    </row>
    <row r="1862">
      <c r="A1862" s="104"/>
      <c r="B1862" s="104"/>
      <c r="C1862" s="105"/>
      <c r="D1862" s="105"/>
      <c r="E1862" s="105"/>
      <c r="F1862" s="105"/>
      <c r="G1862" s="106"/>
      <c r="H1862" s="105"/>
    </row>
    <row r="1863">
      <c r="A1863" s="104"/>
      <c r="B1863" s="104"/>
      <c r="C1863" s="105"/>
      <c r="D1863" s="105"/>
      <c r="E1863" s="105"/>
      <c r="F1863" s="105"/>
      <c r="G1863" s="106"/>
      <c r="H1863" s="105"/>
    </row>
    <row r="1864">
      <c r="A1864" s="104"/>
      <c r="B1864" s="104"/>
      <c r="C1864" s="105"/>
      <c r="D1864" s="105"/>
      <c r="E1864" s="105"/>
      <c r="F1864" s="105"/>
      <c r="G1864" s="106"/>
      <c r="H1864" s="105"/>
    </row>
    <row r="1865">
      <c r="A1865" s="104"/>
      <c r="B1865" s="104"/>
      <c r="C1865" s="105"/>
      <c r="D1865" s="105"/>
      <c r="E1865" s="105"/>
      <c r="F1865" s="105"/>
      <c r="G1865" s="106"/>
      <c r="H1865" s="105"/>
    </row>
    <row r="1866">
      <c r="A1866" s="104"/>
      <c r="B1866" s="104"/>
      <c r="C1866" s="105"/>
      <c r="D1866" s="105"/>
      <c r="E1866" s="105"/>
      <c r="F1866" s="105"/>
      <c r="G1866" s="106"/>
      <c r="H1866" s="105"/>
    </row>
    <row r="1867">
      <c r="A1867" s="104"/>
      <c r="B1867" s="104"/>
      <c r="C1867" s="105"/>
      <c r="D1867" s="105"/>
      <c r="E1867" s="105"/>
      <c r="F1867" s="105"/>
      <c r="G1867" s="106"/>
      <c r="H1867" s="105"/>
    </row>
    <row r="1868">
      <c r="A1868" s="104"/>
      <c r="B1868" s="104"/>
      <c r="C1868" s="105"/>
      <c r="D1868" s="105"/>
      <c r="E1868" s="105"/>
      <c r="F1868" s="105"/>
      <c r="G1868" s="106"/>
      <c r="H1868" s="105"/>
    </row>
    <row r="1869">
      <c r="A1869" s="104"/>
      <c r="B1869" s="104"/>
      <c r="C1869" s="105"/>
      <c r="D1869" s="105"/>
      <c r="E1869" s="105"/>
      <c r="F1869" s="105"/>
      <c r="G1869" s="106"/>
      <c r="H1869" s="105"/>
    </row>
    <row r="1870">
      <c r="A1870" s="104"/>
      <c r="B1870" s="104"/>
      <c r="C1870" s="105"/>
      <c r="D1870" s="105"/>
      <c r="E1870" s="105"/>
      <c r="F1870" s="105"/>
      <c r="G1870" s="106"/>
      <c r="H1870" s="105"/>
    </row>
    <row r="1871">
      <c r="A1871" s="104"/>
      <c r="B1871" s="104"/>
      <c r="C1871" s="105"/>
      <c r="D1871" s="105"/>
      <c r="E1871" s="105"/>
      <c r="F1871" s="105"/>
      <c r="G1871" s="106"/>
      <c r="H1871" s="105"/>
    </row>
    <row r="1872">
      <c r="A1872" s="104"/>
      <c r="B1872" s="104"/>
      <c r="C1872" s="105"/>
      <c r="D1872" s="105"/>
      <c r="E1872" s="105"/>
      <c r="F1872" s="105"/>
      <c r="G1872" s="106"/>
      <c r="H1872" s="105"/>
    </row>
    <row r="1873">
      <c r="A1873" s="104"/>
      <c r="B1873" s="104"/>
      <c r="C1873" s="105"/>
      <c r="D1873" s="105"/>
      <c r="E1873" s="105"/>
      <c r="F1873" s="105"/>
      <c r="G1873" s="106"/>
      <c r="H1873" s="105"/>
    </row>
    <row r="1874">
      <c r="A1874" s="104"/>
      <c r="B1874" s="104"/>
      <c r="C1874" s="105"/>
      <c r="D1874" s="105"/>
      <c r="E1874" s="105"/>
      <c r="F1874" s="105"/>
      <c r="G1874" s="106"/>
      <c r="H1874" s="105"/>
    </row>
    <row r="1875">
      <c r="A1875" s="104"/>
      <c r="B1875" s="104"/>
      <c r="C1875" s="105"/>
      <c r="D1875" s="105"/>
      <c r="E1875" s="105"/>
      <c r="F1875" s="105"/>
      <c r="G1875" s="106"/>
      <c r="H1875" s="105"/>
    </row>
    <row r="1876">
      <c r="A1876" s="104"/>
      <c r="B1876" s="104"/>
      <c r="C1876" s="105"/>
      <c r="D1876" s="105"/>
      <c r="E1876" s="105"/>
      <c r="F1876" s="105"/>
      <c r="G1876" s="106"/>
      <c r="H1876" s="105"/>
    </row>
    <row r="1877">
      <c r="A1877" s="104"/>
      <c r="B1877" s="104"/>
      <c r="C1877" s="105"/>
      <c r="D1877" s="105"/>
      <c r="E1877" s="105"/>
      <c r="F1877" s="105"/>
      <c r="G1877" s="106"/>
      <c r="H1877" s="105"/>
    </row>
    <row r="1878">
      <c r="A1878" s="104"/>
      <c r="B1878" s="104"/>
      <c r="C1878" s="105"/>
      <c r="D1878" s="105"/>
      <c r="E1878" s="105"/>
      <c r="F1878" s="105"/>
      <c r="G1878" s="106"/>
      <c r="H1878" s="105"/>
    </row>
    <row r="1879">
      <c r="A1879" s="104"/>
      <c r="B1879" s="104"/>
      <c r="C1879" s="105"/>
      <c r="D1879" s="105"/>
      <c r="E1879" s="105"/>
      <c r="F1879" s="105"/>
      <c r="G1879" s="106"/>
      <c r="H1879" s="105"/>
    </row>
    <row r="1880">
      <c r="A1880" s="104"/>
      <c r="B1880" s="104"/>
      <c r="C1880" s="105"/>
      <c r="D1880" s="105"/>
      <c r="E1880" s="105"/>
      <c r="F1880" s="105"/>
      <c r="G1880" s="106"/>
      <c r="H1880" s="105"/>
    </row>
    <row r="1881">
      <c r="A1881" s="104"/>
      <c r="B1881" s="104"/>
      <c r="C1881" s="105"/>
      <c r="D1881" s="105"/>
      <c r="E1881" s="105"/>
      <c r="F1881" s="105"/>
      <c r="G1881" s="106"/>
      <c r="H1881" s="105"/>
    </row>
    <row r="1882">
      <c r="A1882" s="104"/>
      <c r="B1882" s="104"/>
      <c r="C1882" s="105"/>
      <c r="D1882" s="105"/>
      <c r="E1882" s="105"/>
      <c r="F1882" s="105"/>
      <c r="G1882" s="106"/>
      <c r="H1882" s="105"/>
    </row>
    <row r="1883">
      <c r="A1883" s="104"/>
      <c r="B1883" s="104"/>
      <c r="C1883" s="105"/>
      <c r="D1883" s="105"/>
      <c r="E1883" s="105"/>
      <c r="F1883" s="105"/>
      <c r="G1883" s="106"/>
      <c r="H1883" s="105"/>
    </row>
    <row r="1884">
      <c r="A1884" s="104"/>
      <c r="B1884" s="104"/>
      <c r="C1884" s="105"/>
      <c r="D1884" s="105"/>
      <c r="E1884" s="105"/>
      <c r="F1884" s="105"/>
      <c r="G1884" s="106"/>
      <c r="H1884" s="105"/>
    </row>
    <row r="1885">
      <c r="A1885" s="104"/>
      <c r="B1885" s="104"/>
      <c r="C1885" s="105"/>
      <c r="D1885" s="105"/>
      <c r="E1885" s="105"/>
      <c r="F1885" s="105"/>
      <c r="G1885" s="106"/>
      <c r="H1885" s="105"/>
    </row>
    <row r="1886">
      <c r="A1886" s="104"/>
      <c r="B1886" s="104"/>
      <c r="C1886" s="105"/>
      <c r="D1886" s="105"/>
      <c r="E1886" s="105"/>
      <c r="F1886" s="105"/>
      <c r="G1886" s="106"/>
      <c r="H1886" s="105"/>
    </row>
    <row r="1887">
      <c r="A1887" s="104"/>
      <c r="B1887" s="104"/>
      <c r="C1887" s="105"/>
      <c r="D1887" s="105"/>
      <c r="E1887" s="105"/>
      <c r="F1887" s="105"/>
      <c r="G1887" s="106"/>
      <c r="H1887" s="105"/>
    </row>
    <row r="1888">
      <c r="A1888" s="104"/>
      <c r="B1888" s="104"/>
      <c r="C1888" s="105"/>
      <c r="D1888" s="105"/>
      <c r="E1888" s="105"/>
      <c r="F1888" s="105"/>
      <c r="G1888" s="106"/>
      <c r="H1888" s="105"/>
    </row>
    <row r="1889">
      <c r="A1889" s="104"/>
      <c r="B1889" s="104"/>
      <c r="C1889" s="105"/>
      <c r="D1889" s="105"/>
      <c r="E1889" s="105"/>
      <c r="F1889" s="105"/>
      <c r="G1889" s="106"/>
      <c r="H1889" s="105"/>
    </row>
    <row r="1890">
      <c r="A1890" s="104"/>
      <c r="B1890" s="104"/>
      <c r="C1890" s="105"/>
      <c r="D1890" s="105"/>
      <c r="E1890" s="105"/>
      <c r="F1890" s="105"/>
      <c r="G1890" s="106"/>
      <c r="H1890" s="105"/>
    </row>
    <row r="1891">
      <c r="A1891" s="104"/>
      <c r="B1891" s="104"/>
      <c r="C1891" s="105"/>
      <c r="D1891" s="105"/>
      <c r="E1891" s="105"/>
      <c r="F1891" s="105"/>
      <c r="G1891" s="106"/>
      <c r="H1891" s="105"/>
    </row>
    <row r="1892">
      <c r="A1892" s="104"/>
      <c r="B1892" s="104"/>
      <c r="C1892" s="105"/>
      <c r="D1892" s="105"/>
      <c r="E1892" s="105"/>
      <c r="F1892" s="105"/>
      <c r="G1892" s="106"/>
      <c r="H1892" s="105"/>
    </row>
    <row r="1893">
      <c r="A1893" s="104"/>
      <c r="B1893" s="104"/>
      <c r="C1893" s="105"/>
      <c r="D1893" s="105"/>
      <c r="E1893" s="105"/>
      <c r="F1893" s="105"/>
      <c r="G1893" s="106"/>
      <c r="H1893" s="105"/>
    </row>
    <row r="1894">
      <c r="A1894" s="104"/>
      <c r="B1894" s="104"/>
      <c r="C1894" s="105"/>
      <c r="D1894" s="105"/>
      <c r="E1894" s="105"/>
      <c r="F1894" s="105"/>
      <c r="G1894" s="106"/>
      <c r="H1894" s="105"/>
    </row>
    <row r="1895">
      <c r="A1895" s="104"/>
      <c r="B1895" s="104"/>
      <c r="C1895" s="105"/>
      <c r="D1895" s="105"/>
      <c r="E1895" s="105"/>
      <c r="F1895" s="105"/>
      <c r="G1895" s="106"/>
      <c r="H1895" s="105"/>
    </row>
    <row r="1896">
      <c r="A1896" s="104"/>
      <c r="B1896" s="104"/>
      <c r="C1896" s="105"/>
      <c r="D1896" s="105"/>
      <c r="E1896" s="105"/>
      <c r="F1896" s="105"/>
      <c r="G1896" s="106"/>
      <c r="H1896" s="105"/>
    </row>
    <row r="1897">
      <c r="A1897" s="104"/>
      <c r="B1897" s="104"/>
      <c r="C1897" s="105"/>
      <c r="D1897" s="105"/>
      <c r="E1897" s="105"/>
      <c r="F1897" s="105"/>
      <c r="G1897" s="106"/>
      <c r="H1897" s="105"/>
    </row>
    <row r="1898">
      <c r="A1898" s="104"/>
      <c r="B1898" s="104"/>
      <c r="C1898" s="105"/>
      <c r="D1898" s="105"/>
      <c r="E1898" s="105"/>
      <c r="F1898" s="105"/>
      <c r="G1898" s="106"/>
      <c r="H1898" s="105"/>
    </row>
    <row r="1899">
      <c r="A1899" s="104"/>
      <c r="B1899" s="104"/>
      <c r="C1899" s="105"/>
      <c r="D1899" s="105"/>
      <c r="E1899" s="105"/>
      <c r="F1899" s="105"/>
      <c r="G1899" s="106"/>
      <c r="H1899" s="105"/>
    </row>
    <row r="1900">
      <c r="A1900" s="104"/>
      <c r="B1900" s="104"/>
      <c r="C1900" s="105"/>
      <c r="D1900" s="105"/>
      <c r="E1900" s="105"/>
      <c r="F1900" s="105"/>
      <c r="G1900" s="106"/>
      <c r="H1900" s="105"/>
    </row>
    <row r="1901">
      <c r="A1901" s="104"/>
      <c r="B1901" s="104"/>
      <c r="C1901" s="105"/>
      <c r="D1901" s="105"/>
      <c r="E1901" s="105"/>
      <c r="F1901" s="105"/>
      <c r="G1901" s="106"/>
      <c r="H1901" s="105"/>
    </row>
    <row r="1902">
      <c r="A1902" s="104"/>
      <c r="B1902" s="104"/>
      <c r="C1902" s="105"/>
      <c r="D1902" s="105"/>
      <c r="E1902" s="105"/>
      <c r="F1902" s="105"/>
      <c r="G1902" s="106"/>
      <c r="H1902" s="105"/>
    </row>
    <row r="1903">
      <c r="A1903" s="104"/>
      <c r="B1903" s="104"/>
      <c r="C1903" s="105"/>
      <c r="D1903" s="105"/>
      <c r="E1903" s="105"/>
      <c r="F1903" s="105"/>
      <c r="G1903" s="106"/>
      <c r="H1903" s="105"/>
    </row>
    <row r="1904">
      <c r="A1904" s="104"/>
      <c r="B1904" s="104"/>
      <c r="C1904" s="105"/>
      <c r="D1904" s="105"/>
      <c r="E1904" s="105"/>
      <c r="F1904" s="105"/>
      <c r="G1904" s="106"/>
      <c r="H1904" s="105"/>
    </row>
    <row r="1905">
      <c r="A1905" s="104"/>
      <c r="B1905" s="104"/>
      <c r="C1905" s="105"/>
      <c r="D1905" s="105"/>
      <c r="E1905" s="105"/>
      <c r="F1905" s="105"/>
      <c r="G1905" s="106"/>
      <c r="H1905" s="105"/>
    </row>
    <row r="1906">
      <c r="A1906" s="104"/>
      <c r="B1906" s="104"/>
      <c r="C1906" s="105"/>
      <c r="D1906" s="105"/>
      <c r="E1906" s="105"/>
      <c r="F1906" s="105"/>
      <c r="G1906" s="106"/>
      <c r="H1906" s="105"/>
    </row>
    <row r="1907">
      <c r="A1907" s="104"/>
      <c r="B1907" s="104"/>
      <c r="C1907" s="105"/>
      <c r="D1907" s="105"/>
      <c r="E1907" s="105"/>
      <c r="F1907" s="105"/>
      <c r="G1907" s="106"/>
      <c r="H1907" s="105"/>
    </row>
    <row r="1908">
      <c r="A1908" s="104"/>
      <c r="B1908" s="104"/>
      <c r="C1908" s="105"/>
      <c r="D1908" s="105"/>
      <c r="E1908" s="105"/>
      <c r="F1908" s="105"/>
      <c r="G1908" s="106"/>
      <c r="H1908" s="105"/>
    </row>
    <row r="1909">
      <c r="A1909" s="104"/>
      <c r="B1909" s="104"/>
      <c r="C1909" s="105"/>
      <c r="D1909" s="105"/>
      <c r="E1909" s="105"/>
      <c r="F1909" s="105"/>
      <c r="G1909" s="106"/>
      <c r="H1909" s="105"/>
    </row>
    <row r="1910">
      <c r="A1910" s="104"/>
      <c r="B1910" s="104"/>
      <c r="C1910" s="105"/>
      <c r="D1910" s="105"/>
      <c r="E1910" s="105"/>
      <c r="F1910" s="105"/>
      <c r="G1910" s="106"/>
      <c r="H1910" s="105"/>
    </row>
    <row r="1911">
      <c r="A1911" s="104"/>
      <c r="B1911" s="104"/>
      <c r="C1911" s="105"/>
      <c r="D1911" s="105"/>
      <c r="E1911" s="105"/>
      <c r="F1911" s="105"/>
      <c r="G1911" s="106"/>
      <c r="H1911" s="105"/>
    </row>
    <row r="1912">
      <c r="A1912" s="104"/>
      <c r="B1912" s="104"/>
      <c r="C1912" s="105"/>
      <c r="D1912" s="105"/>
      <c r="E1912" s="105"/>
      <c r="F1912" s="105"/>
      <c r="G1912" s="106"/>
      <c r="H1912" s="105"/>
    </row>
    <row r="1913">
      <c r="A1913" s="104"/>
      <c r="B1913" s="104"/>
      <c r="C1913" s="105"/>
      <c r="D1913" s="105"/>
      <c r="E1913" s="105"/>
      <c r="F1913" s="105"/>
      <c r="G1913" s="106"/>
      <c r="H1913" s="105"/>
    </row>
    <row r="1914">
      <c r="A1914" s="104"/>
      <c r="B1914" s="104"/>
      <c r="C1914" s="105"/>
      <c r="D1914" s="105"/>
      <c r="E1914" s="105"/>
      <c r="F1914" s="105"/>
      <c r="G1914" s="106"/>
      <c r="H1914" s="105"/>
    </row>
    <row r="1915">
      <c r="A1915" s="104"/>
      <c r="B1915" s="104"/>
      <c r="C1915" s="105"/>
      <c r="D1915" s="105"/>
      <c r="E1915" s="105"/>
      <c r="F1915" s="105"/>
      <c r="G1915" s="106"/>
      <c r="H1915" s="105"/>
    </row>
    <row r="1916">
      <c r="A1916" s="104"/>
      <c r="B1916" s="104"/>
      <c r="C1916" s="105"/>
      <c r="D1916" s="105"/>
      <c r="E1916" s="105"/>
      <c r="F1916" s="105"/>
      <c r="G1916" s="106"/>
      <c r="H1916" s="105"/>
    </row>
    <row r="1917">
      <c r="A1917" s="104"/>
      <c r="B1917" s="104"/>
      <c r="C1917" s="105"/>
      <c r="D1917" s="105"/>
      <c r="E1917" s="105"/>
      <c r="F1917" s="105"/>
      <c r="G1917" s="106"/>
      <c r="H1917" s="105"/>
    </row>
    <row r="1918">
      <c r="A1918" s="104"/>
      <c r="B1918" s="104"/>
      <c r="C1918" s="105"/>
      <c r="D1918" s="105"/>
      <c r="E1918" s="105"/>
      <c r="F1918" s="105"/>
      <c r="G1918" s="106"/>
      <c r="H1918" s="105"/>
    </row>
    <row r="1919">
      <c r="A1919" s="104"/>
      <c r="B1919" s="104"/>
      <c r="C1919" s="105"/>
      <c r="D1919" s="105"/>
      <c r="E1919" s="105"/>
      <c r="F1919" s="105"/>
      <c r="G1919" s="106"/>
      <c r="H1919" s="105"/>
    </row>
    <row r="1920">
      <c r="A1920" s="104"/>
      <c r="B1920" s="104"/>
      <c r="C1920" s="105"/>
      <c r="D1920" s="105"/>
      <c r="E1920" s="105"/>
      <c r="F1920" s="105"/>
      <c r="G1920" s="106"/>
      <c r="H1920" s="105"/>
    </row>
    <row r="1921">
      <c r="A1921" s="104"/>
      <c r="B1921" s="104"/>
      <c r="C1921" s="105"/>
      <c r="D1921" s="105"/>
      <c r="E1921" s="105"/>
      <c r="F1921" s="105"/>
      <c r="G1921" s="106"/>
      <c r="H1921" s="105"/>
    </row>
    <row r="1922">
      <c r="A1922" s="104"/>
      <c r="B1922" s="104"/>
      <c r="C1922" s="105"/>
      <c r="D1922" s="105"/>
      <c r="E1922" s="105"/>
      <c r="F1922" s="105"/>
      <c r="G1922" s="106"/>
      <c r="H1922" s="105"/>
    </row>
    <row r="1923">
      <c r="A1923" s="104"/>
      <c r="B1923" s="104"/>
      <c r="C1923" s="105"/>
      <c r="D1923" s="105"/>
      <c r="E1923" s="105"/>
      <c r="F1923" s="105"/>
      <c r="G1923" s="106"/>
      <c r="H1923" s="105"/>
    </row>
    <row r="1924">
      <c r="A1924" s="104"/>
      <c r="B1924" s="104"/>
      <c r="C1924" s="105"/>
      <c r="D1924" s="105"/>
      <c r="E1924" s="105"/>
      <c r="F1924" s="105"/>
      <c r="G1924" s="106"/>
      <c r="H1924" s="105"/>
    </row>
    <row r="1925">
      <c r="A1925" s="104"/>
      <c r="B1925" s="104"/>
      <c r="C1925" s="105"/>
      <c r="D1925" s="105"/>
      <c r="E1925" s="105"/>
      <c r="F1925" s="105"/>
      <c r="G1925" s="106"/>
      <c r="H1925" s="105"/>
    </row>
    <row r="1926">
      <c r="A1926" s="104"/>
      <c r="B1926" s="104"/>
      <c r="C1926" s="105"/>
      <c r="D1926" s="105"/>
      <c r="E1926" s="105"/>
      <c r="F1926" s="105"/>
      <c r="G1926" s="106"/>
      <c r="H1926" s="105"/>
    </row>
    <row r="1927">
      <c r="A1927" s="104"/>
      <c r="B1927" s="104"/>
      <c r="C1927" s="105"/>
      <c r="D1927" s="105"/>
      <c r="E1927" s="105"/>
      <c r="F1927" s="105"/>
      <c r="G1927" s="106"/>
      <c r="H1927" s="105"/>
    </row>
    <row r="1928">
      <c r="A1928" s="104"/>
      <c r="B1928" s="104"/>
      <c r="C1928" s="105"/>
      <c r="D1928" s="105"/>
      <c r="E1928" s="105"/>
      <c r="F1928" s="105"/>
      <c r="G1928" s="106"/>
      <c r="H1928" s="105"/>
    </row>
    <row r="1929">
      <c r="A1929" s="104"/>
      <c r="B1929" s="104"/>
      <c r="C1929" s="105"/>
      <c r="D1929" s="105"/>
      <c r="E1929" s="105"/>
      <c r="F1929" s="105"/>
      <c r="G1929" s="106"/>
      <c r="H1929" s="105"/>
    </row>
    <row r="1930">
      <c r="A1930" s="104"/>
      <c r="B1930" s="104"/>
      <c r="C1930" s="105"/>
      <c r="D1930" s="105"/>
      <c r="E1930" s="105"/>
      <c r="F1930" s="105"/>
      <c r="G1930" s="106"/>
      <c r="H1930" s="105"/>
    </row>
    <row r="1931">
      <c r="A1931" s="104"/>
      <c r="B1931" s="104"/>
      <c r="C1931" s="105"/>
      <c r="D1931" s="105"/>
      <c r="E1931" s="105"/>
      <c r="F1931" s="105"/>
      <c r="G1931" s="106"/>
      <c r="H1931" s="105"/>
    </row>
    <row r="1932">
      <c r="A1932" s="104"/>
      <c r="B1932" s="104"/>
      <c r="C1932" s="105"/>
      <c r="D1932" s="105"/>
      <c r="E1932" s="105"/>
      <c r="F1932" s="105"/>
      <c r="G1932" s="106"/>
      <c r="H1932" s="105"/>
    </row>
    <row r="1933">
      <c r="A1933" s="104"/>
      <c r="B1933" s="104"/>
      <c r="C1933" s="105"/>
      <c r="D1933" s="105"/>
      <c r="E1933" s="105"/>
      <c r="F1933" s="105"/>
      <c r="G1933" s="106"/>
      <c r="H1933" s="105"/>
    </row>
    <row r="1934">
      <c r="A1934" s="104"/>
      <c r="B1934" s="104"/>
      <c r="C1934" s="105"/>
      <c r="D1934" s="105"/>
      <c r="E1934" s="105"/>
      <c r="F1934" s="105"/>
      <c r="G1934" s="106"/>
      <c r="H1934" s="105"/>
    </row>
    <row r="1935">
      <c r="A1935" s="104"/>
      <c r="B1935" s="104"/>
      <c r="C1935" s="105"/>
      <c r="D1935" s="105"/>
      <c r="E1935" s="105"/>
      <c r="F1935" s="105"/>
      <c r="G1935" s="106"/>
      <c r="H1935" s="105"/>
    </row>
    <row r="1936">
      <c r="A1936" s="104"/>
      <c r="B1936" s="104"/>
      <c r="C1936" s="105"/>
      <c r="D1936" s="105"/>
      <c r="E1936" s="105"/>
      <c r="F1936" s="105"/>
      <c r="G1936" s="106"/>
      <c r="H1936" s="105"/>
    </row>
    <row r="1937">
      <c r="A1937" s="104"/>
      <c r="B1937" s="104"/>
      <c r="C1937" s="105"/>
      <c r="D1937" s="105"/>
      <c r="E1937" s="105"/>
      <c r="F1937" s="105"/>
      <c r="G1937" s="106"/>
      <c r="H1937" s="105"/>
    </row>
    <row r="1938">
      <c r="A1938" s="104"/>
      <c r="B1938" s="104"/>
      <c r="C1938" s="105"/>
      <c r="D1938" s="105"/>
      <c r="E1938" s="105"/>
      <c r="F1938" s="105"/>
      <c r="G1938" s="106"/>
      <c r="H1938" s="105"/>
    </row>
    <row r="1939">
      <c r="A1939" s="104"/>
      <c r="B1939" s="104"/>
      <c r="C1939" s="105"/>
      <c r="D1939" s="105"/>
      <c r="E1939" s="105"/>
      <c r="F1939" s="105"/>
      <c r="G1939" s="106"/>
      <c r="H1939" s="105"/>
    </row>
    <row r="1940">
      <c r="A1940" s="104"/>
      <c r="B1940" s="104"/>
      <c r="C1940" s="105"/>
      <c r="D1940" s="105"/>
      <c r="E1940" s="105"/>
      <c r="F1940" s="105"/>
      <c r="G1940" s="106"/>
      <c r="H1940" s="105"/>
    </row>
    <row r="1941">
      <c r="A1941" s="104"/>
      <c r="B1941" s="104"/>
      <c r="C1941" s="105"/>
      <c r="D1941" s="105"/>
      <c r="E1941" s="105"/>
      <c r="F1941" s="105"/>
      <c r="G1941" s="106"/>
      <c r="H1941" s="105"/>
    </row>
    <row r="1942">
      <c r="A1942" s="104"/>
      <c r="B1942" s="104"/>
      <c r="C1942" s="105"/>
      <c r="D1942" s="105"/>
      <c r="E1942" s="105"/>
      <c r="F1942" s="105"/>
      <c r="G1942" s="106"/>
      <c r="H1942" s="105"/>
    </row>
    <row r="1943">
      <c r="A1943" s="104"/>
      <c r="B1943" s="104"/>
      <c r="C1943" s="105"/>
      <c r="D1943" s="105"/>
      <c r="E1943" s="105"/>
      <c r="F1943" s="105"/>
      <c r="G1943" s="106"/>
      <c r="H1943" s="105"/>
    </row>
    <row r="1944">
      <c r="A1944" s="104"/>
      <c r="B1944" s="104"/>
      <c r="C1944" s="105"/>
      <c r="D1944" s="105"/>
      <c r="E1944" s="105"/>
      <c r="F1944" s="105"/>
      <c r="G1944" s="106"/>
      <c r="H1944" s="105"/>
    </row>
    <row r="1945">
      <c r="A1945" s="104"/>
      <c r="B1945" s="104"/>
      <c r="C1945" s="105"/>
      <c r="D1945" s="105"/>
      <c r="E1945" s="105"/>
      <c r="F1945" s="105"/>
      <c r="G1945" s="106"/>
      <c r="H1945" s="105"/>
    </row>
    <row r="1946">
      <c r="A1946" s="104"/>
      <c r="B1946" s="104"/>
      <c r="C1946" s="105"/>
      <c r="D1946" s="105"/>
      <c r="E1946" s="105"/>
      <c r="F1946" s="105"/>
      <c r="G1946" s="106"/>
      <c r="H1946" s="105"/>
    </row>
    <row r="1947">
      <c r="A1947" s="104"/>
      <c r="B1947" s="104"/>
      <c r="C1947" s="105"/>
      <c r="D1947" s="105"/>
      <c r="E1947" s="105"/>
      <c r="F1947" s="105"/>
      <c r="G1947" s="106"/>
      <c r="H1947" s="105"/>
    </row>
    <row r="1948">
      <c r="A1948" s="104"/>
      <c r="B1948" s="104"/>
      <c r="C1948" s="105"/>
      <c r="D1948" s="105"/>
      <c r="E1948" s="105"/>
      <c r="F1948" s="105"/>
      <c r="G1948" s="106"/>
      <c r="H1948" s="105"/>
    </row>
    <row r="1949">
      <c r="A1949" s="104"/>
      <c r="B1949" s="104"/>
      <c r="C1949" s="105"/>
      <c r="D1949" s="105"/>
      <c r="E1949" s="105"/>
      <c r="F1949" s="105"/>
      <c r="G1949" s="106"/>
      <c r="H1949" s="105"/>
    </row>
    <row r="1950">
      <c r="A1950" s="104"/>
      <c r="B1950" s="104"/>
      <c r="C1950" s="105"/>
      <c r="D1950" s="105"/>
      <c r="E1950" s="105"/>
      <c r="F1950" s="105"/>
      <c r="G1950" s="106"/>
      <c r="H1950" s="105"/>
    </row>
  </sheetData>
  <autoFilter ref="$A$1:$Q$1950"/>
  <dataValidations>
    <dataValidation type="list" allowBlank="1" sqref="F152">
      <formula1>'Повседневные'!$I$152:$P$152</formula1>
    </dataValidation>
    <dataValidation type="list" allowBlank="1" sqref="F544">
      <formula1>'Повседневные'!$I$544:$P$544</formula1>
    </dataValidation>
    <dataValidation type="list" allowBlank="1" sqref="F936">
      <formula1>'Повседневные'!$I$936:$P$936</formula1>
    </dataValidation>
    <dataValidation type="list" allowBlank="1" sqref="F850">
      <formula1>'Повседневные'!$I$850:$P$850</formula1>
    </dataValidation>
    <dataValidation type="list" allowBlank="1" sqref="F267">
      <formula1>'Повседневные'!$I$267:$P$267</formula1>
    </dataValidation>
    <dataValidation type="list" allowBlank="1" sqref="F659">
      <formula1>'Повседневные'!$I$659:$P$659</formula1>
    </dataValidation>
    <dataValidation type="list" allowBlank="1" sqref="F313">
      <formula1>'Повседневные'!$I$313:$P$313</formula1>
    </dataValidation>
    <dataValidation type="list" allowBlank="1" sqref="F705">
      <formula1>'Повседневные'!$I$705:$P$705</formula1>
    </dataValidation>
    <dataValidation type="list" allowBlank="1" sqref="F59">
      <formula1>'Повседневные'!$I$59:$P$59</formula1>
    </dataValidation>
    <dataValidation type="list" allowBlank="1" sqref="F181">
      <formula1>'Повседневные'!$I$181:$P$181</formula1>
    </dataValidation>
    <dataValidation type="list" allowBlank="1" sqref="F573">
      <formula1>'Повседневные'!$I$573:$P$573</formula1>
    </dataValidation>
    <dataValidation type="list" allowBlank="1" sqref="F428">
      <formula1>'Повседневные'!$I$428:$P$428</formula1>
    </dataValidation>
    <dataValidation type="list" allowBlank="1" sqref="F296">
      <formula1>'Повседневные'!$I$296:$P$296</formula1>
    </dataValidation>
    <dataValidation type="list" allowBlank="1" sqref="F688">
      <formula1>'Повседневные'!$I$688:$P$688</formula1>
    </dataValidation>
    <dataValidation type="list" allowBlank="1" sqref="F342">
      <formula1>'Повседневные'!$I$342:$P$342</formula1>
    </dataValidation>
    <dataValidation type="list" allowBlank="1" sqref="F734">
      <formula1>'Повседневные'!$I$734:$P$734</formula1>
    </dataValidation>
    <dataValidation type="list" allowBlank="1" sqref="F354">
      <formula1>'Повседневные'!$I$354:$P$354</formula1>
    </dataValidation>
    <dataValidation type="list" allowBlank="1" sqref="F66">
      <formula1>'Повседневные'!$I$66:$P$66</formula1>
    </dataValidation>
    <dataValidation type="list" allowBlank="1" sqref="F400">
      <formula1>'Повседневные'!$I$400:$P$400</formula1>
    </dataValidation>
    <dataValidation type="list" allowBlank="1" sqref="F660">
      <formula1>'Повседневные'!$I$660:$P$660</formula1>
    </dataValidation>
    <dataValidation type="list" allowBlank="1" sqref="F849">
      <formula1>'Повседневные'!$I$849:$P$849</formula1>
    </dataValidation>
    <dataValidation type="list" allowBlank="1" sqref="F111">
      <formula1>'Повседневные'!$I$111:$P$111</formula1>
    </dataValidation>
    <dataValidation type="list" allowBlank="1" sqref="F371">
      <formula1>'Повседневные'!$I$371:$P$371</formula1>
    </dataValidation>
    <dataValidation type="list" allowBlank="1" sqref="F123">
      <formula1>'Повседневные'!$I$123:$P$123</formula1>
    </dataValidation>
    <dataValidation type="list" allowBlank="1" sqref="F383">
      <formula1>'Повседневные'!$I$383:$P$383</formula1>
    </dataValidation>
    <dataValidation type="list" allowBlank="1" sqref="F907">
      <formula1>'Повседневные'!$I$907:$P$907</formula1>
    </dataValidation>
    <dataValidation type="list" allowBlank="1" sqref="F618">
      <formula1>'Повседневные'!$I$618:$P$618</formula1>
    </dataValidation>
    <dataValidation type="list" allowBlank="1" sqref="F878">
      <formula1>'Повседневные'!$I$878:$P$878</formula1>
    </dataValidation>
    <dataValidation type="list" allowBlank="1" sqref="F924">
      <formula1>'Повседневные'!$I$924:$P$924</formula1>
    </dataValidation>
    <dataValidation type="list" allowBlank="1" sqref="F140">
      <formula1>'Повседневные'!$I$140:$P$140</formula1>
    </dataValidation>
    <dataValidation type="list" allowBlank="1" sqref="F948">
      <formula1>'Повседневные'!$I$948:$P$948</formula1>
    </dataValidation>
    <dataValidation type="list" allowBlank="1" sqref="F210">
      <formula1>'Повседневные'!$I$210:$P$210</formula1>
    </dataValidation>
    <dataValidation type="list" allowBlank="1" sqref="F602">
      <formula1>'Повседневные'!$I$602:$P$602</formula1>
    </dataValidation>
    <dataValidation type="list" allowBlank="1" sqref="F470">
      <formula1>'Повседневные'!$I$470:$P$470</formula1>
    </dataValidation>
    <dataValidation type="list" allowBlank="1" sqref="F862">
      <formula1>'Повседневные'!$I$862:$P$862</formula1>
    </dataValidation>
    <dataValidation type="list" allowBlank="1" sqref="F255">
      <formula1>'Повседневные'!$I$255:$P$255</formula1>
    </dataValidation>
    <dataValidation type="list" allowBlank="1" sqref="F279">
      <formula1>'Повседневные'!$I$279:$P$279</formula1>
    </dataValidation>
    <dataValidation type="list" allowBlank="1" sqref="F717">
      <formula1>'Повседневные'!$I$717:$P$717</formula1>
    </dataValidation>
    <dataValidation type="list" allowBlank="1" sqref="F631">
      <formula1>'Повседневные'!$I$631:$P$631</formula1>
    </dataValidation>
    <dataValidation type="list" allowBlank="1" sqref="F891">
      <formula1>'Повседневные'!$I$891:$P$891</formula1>
    </dataValidation>
    <dataValidation type="list" allowBlank="1" sqref="F23">
      <formula1>'Повседневные'!$I$23:$P$23</formula1>
    </dataValidation>
    <dataValidation type="list" allowBlank="1" sqref="F284">
      <formula1>'Повседневные'!$I$284:$P$284</formula1>
    </dataValidation>
    <dataValidation type="list" allowBlank="1" sqref="F722">
      <formula1>'Повседневные'!$I$722:$P$722</formula1>
    </dataValidation>
    <dataValidation type="list" allowBlank="1" sqref="F746">
      <formula1>'Повседневные'!$I$746:$P$746</formula1>
    </dataValidation>
    <dataValidation type="list" allowBlank="1" sqref="F52">
      <formula1>'Повседневные'!$I$52:$P$52</formula1>
    </dataValidation>
    <dataValidation type="list" allowBlank="1" sqref="F139">
      <formula1>'Повседневные'!$I$139:$P$139</formula1>
    </dataValidation>
    <dataValidation type="list" allowBlank="1" sqref="F16">
      <formula1>'Повседневные'!$I$16:$P$16</formula1>
    </dataValidation>
    <dataValidation type="list" allowBlank="1" sqref="F399">
      <formula1>'Повседневные'!$I$399:$P$399</formula1>
    </dataValidation>
    <dataValidation type="list" allowBlank="1" sqref="F804">
      <formula1>'Повседневные'!$I$804:$P$804</formula1>
    </dataValidation>
    <dataValidation type="list" allowBlank="1" sqref="F457">
      <formula1>'Повседневные'!$I$457:$P$457</formula1>
    </dataValidation>
    <dataValidation type="list" allowBlank="1" sqref="F751">
      <formula1>'Повседневные'!$I$751:$P$751</formula1>
    </dataValidation>
    <dataValidation type="list" allowBlank="1" sqref="F515">
      <formula1>'Повседневные'!$I$515:$P$515</formula1>
    </dataValidation>
    <dataValidation type="list" allowBlank="1" sqref="F775">
      <formula1>'Повседневные'!$I$775:$P$775</formula1>
    </dataValidation>
    <dataValidation type="list" allowBlank="1" sqref="F168">
      <formula1>'Повседневные'!$I$168:$P$168</formula1>
    </dataValidation>
    <dataValidation type="list" allowBlank="1" sqref="F833">
      <formula1>'Повседневные'!$I$833:$P$833</formula1>
    </dataValidation>
    <dataValidation type="list" allowBlank="1" sqref="F226">
      <formula1>'Повседневные'!$I$226:$P$226</formula1>
    </dataValidation>
    <dataValidation type="list" allowBlank="1" sqref="F486">
      <formula1>'Повседневные'!$I$486:$P$486</formula1>
    </dataValidation>
    <dataValidation type="list" allowBlank="1" sqref="F520">
      <formula1>'Повседневные'!$I$520:$P$520</formula1>
    </dataValidation>
    <dataValidation type="list" allowBlank="1" sqref="F780">
      <formula1>'Повседневные'!$I$780:$P$780</formula1>
    </dataValidation>
    <dataValidation type="list" allowBlank="1" sqref="F329">
      <formula1>'Повседневные'!$I$329:$P$329</formula1>
    </dataValidation>
    <dataValidation type="list" allowBlank="1" sqref="F568">
      <formula1>'Повседневные'!$I$568:$P$568</formula1>
    </dataValidation>
    <dataValidation type="list" allowBlank="1" sqref="F243">
      <formula1>'Повседневные'!$I$243:$P$243</formula1>
    </dataValidation>
    <dataValidation type="list" allowBlank="1" sqref="F635">
      <formula1>'Повседневные'!$I$635:$P$635</formula1>
    </dataValidation>
    <dataValidation type="list" allowBlank="1" sqref="F874">
      <formula1>'Повседневные'!$I$874:$P$874</formula1>
    </dataValidation>
    <dataValidation type="list" allowBlank="1" sqref="F482">
      <formula1>'Повседневные'!$I$482:$P$482</formula1>
    </dataValidation>
    <dataValidation type="list" allowBlank="1" sqref="F38">
      <formula1>'Повседневные'!$I$38:$P$38</formula1>
    </dataValidation>
    <dataValidation type="list" allowBlank="1" sqref="F920">
      <formula1>'Повседневные'!$I$920:$P$920</formula1>
    </dataValidation>
    <dataValidation type="list" allowBlank="1" sqref="F5">
      <formula1>'Повседневные'!$I$5:$P$5</formula1>
    </dataValidation>
    <dataValidation type="list" allowBlank="1" sqref="F337">
      <formula1>'Повседневные'!$I$337:$P$337</formula1>
    </dataValidation>
    <dataValidation type="list" allowBlank="1" sqref="F729">
      <formula1>'Повседневные'!$I$729:$P$729</formula1>
    </dataValidation>
    <dataValidation type="list" allowBlank="1" sqref="F404">
      <formula1>'Повседневные'!$I$404:$P$404</formula1>
    </dataValidation>
    <dataValidation type="list" allowBlank="1" sqref="F251">
      <formula1>'Повседневные'!$I$251:$P$251</formula1>
    </dataValidation>
    <dataValidation type="list" allowBlank="1" sqref="F643">
      <formula1>'Повседневные'!$I$643:$P$643</formula1>
    </dataValidation>
    <dataValidation type="list" allowBlank="1" sqref="F106">
      <formula1>'Повседневные'!$I$106:$P$106</formula1>
    </dataValidation>
    <dataValidation type="list" allowBlank="1" sqref="F779">
      <formula1>'Повседневные'!$I$779:$P$779</formula1>
    </dataValidation>
    <dataValidation type="list" allowBlank="1" sqref="F825">
      <formula1>'Повседневные'!$I$825:$P$825</formula1>
    </dataValidation>
    <dataValidation type="list" allowBlank="1" sqref="F378">
      <formula1>'Повседневные'!$I$378:$P$378</formula1>
    </dataValidation>
    <dataValidation type="list" allowBlank="1" sqref="F412">
      <formula1>'Повседневные'!$I$412:$P$412</formula1>
    </dataValidation>
    <dataValidation type="list" allowBlank="1" sqref="F424">
      <formula1>'Повседневные'!$I$424:$P$424</formula1>
    </dataValidation>
    <dataValidation type="list" allowBlank="1" sqref="F730">
      <formula1>'Повседневные'!$I$730:$P$730</formula1>
    </dataValidation>
    <dataValidation type="list" allowBlank="1" sqref="F45">
      <formula1>'Повседневные'!$I$45:$P$45</formula1>
    </dataValidation>
    <dataValidation type="list" allowBlank="1" sqref="F548">
      <formula1>'Повседневные'!$I$548:$P$548</formula1>
    </dataValidation>
    <dataValidation type="list" allowBlank="1" sqref="F395">
      <formula1>'Повседневные'!$I$395:$P$395</formula1>
    </dataValidation>
    <dataValidation type="list" allowBlank="1" sqref="F147">
      <formula1>'Повседневные'!$I$147:$P$147</formula1>
    </dataValidation>
    <dataValidation type="list" allowBlank="1" sqref="F866">
      <formula1>'Повседневные'!$I$866:$P$866</formula1>
    </dataValidation>
    <dataValidation type="list" allowBlank="1" sqref="F900">
      <formula1>'Повседневные'!$I$900:$P$900</formula1>
    </dataValidation>
    <dataValidation type="list" allowBlank="1" sqref="F912">
      <formula1>'Повседневные'!$I$912:$P$912</formula1>
    </dataValidation>
    <dataValidation type="list" allowBlank="1" sqref="F164">
      <formula1>'Повседневные'!$I$164:$P$164</formula1>
    </dataValidation>
    <dataValidation type="list" allowBlank="1" sqref="F556">
      <formula1>'Повседневные'!$I$556:$P$556</formula1>
    </dataValidation>
    <dataValidation type="list" allowBlank="1" sqref="F883">
      <formula1>'Повседневные'!$I$883:$P$883</formula1>
    </dataValidation>
    <dataValidation type="list" allowBlank="1" sqref="F24">
      <formula1>'Повседневные'!$I$24:$P$24</formula1>
    </dataValidation>
    <dataValidation type="list" allowBlank="1" sqref="F647">
      <formula1>'Повседневные'!$I$647:$P$647</formula1>
    </dataValidation>
    <dataValidation type="list" allowBlank="1" sqref="F561">
      <formula1>'Повседневные'!$I$561:$P$561</formula1>
    </dataValidation>
    <dataValidation type="list" allowBlank="1" sqref="F325">
      <formula1>'Повседневные'!$I$325:$P$325</formula1>
    </dataValidation>
    <dataValidation type="list" allowBlank="1" sqref="F652">
      <formula1>'Повседневные'!$I$652:$P$652</formula1>
    </dataValidation>
    <dataValidation type="list" allowBlank="1" sqref="F416">
      <formula1>'Повседневные'!$I$416:$P$416</formula1>
    </dataValidation>
    <dataValidation type="list" allowBlank="1" sqref="F808">
      <formula1>'Повседневные'!$I$808:$P$808</formula1>
    </dataValidation>
    <dataValidation type="list" allowBlank="1" sqref="F330">
      <formula1>'Повседневные'!$I$330:$P$330</formula1>
    </dataValidation>
    <dataValidation type="list" allowBlank="1" sqref="F2">
      <formula1>'Повседневные'!$I$2:$P$2</formula1>
    </dataValidation>
    <dataValidation type="list" allowBlank="1" sqref="F421">
      <formula1>'Повседневные'!$I$421:$P$421</formula1>
    </dataValidation>
    <dataValidation type="list" allowBlank="1" sqref="F387">
      <formula1>'Повседневные'!$I$387:$P$387</formula1>
    </dataValidation>
    <dataValidation type="list" allowBlank="1" sqref="F816">
      <formula1>'Повседневные'!$I$816:$P$816</formula1>
    </dataValidation>
    <dataValidation type="list" allowBlank="1" sqref="F503">
      <formula1>'Повседневные'!$I$503:$P$503</formula1>
    </dataValidation>
    <dataValidation type="list" allowBlank="1" sqref="F469">
      <formula1>'Повседневные'!$I$469:$P$469</formula1>
    </dataValidation>
    <dataValidation type="list" allowBlank="1" sqref="F156">
      <formula1>'Повседневные'!$I$156:$P$156</formula1>
    </dataValidation>
    <dataValidation type="list" allowBlank="1" sqref="F821">
      <formula1>'Повседневные'!$I$821:$P$821</formula1>
    </dataValidation>
    <dataValidation type="list" allowBlank="1" sqref="F31">
      <formula1>'Повседневные'!$I$31:$P$31</formula1>
    </dataValidation>
    <dataValidation type="list" allowBlank="1" sqref="F787">
      <formula1>'Повседневные'!$I$787:$P$787</formula1>
    </dataValidation>
    <dataValidation type="list" allowBlank="1" sqref="F474">
      <formula1>'Повседневные'!$I$474:$P$474</formula1>
    </dataValidation>
    <dataValidation type="list" allowBlank="1" sqref="F238">
      <formula1>'Повседневные'!$I$238:$P$238</formula1>
    </dataValidation>
    <dataValidation type="list" allowBlank="1" sqref="F792">
      <formula1>'Повседневные'!$I$792:$P$792</formula1>
    </dataValidation>
    <dataValidation type="list" allowBlank="1" sqref="F903">
      <formula1>'Повседневные'!$I$903:$P$903</formula1>
    </dataValidation>
    <dataValidation type="list" allowBlank="1" sqref="F173">
      <formula1>'Повседневные'!$I$173:$P$173</formula1>
    </dataValidation>
    <dataValidation type="list" allowBlank="1" sqref="F565">
      <formula1>'Повседневные'!$I$565:$P$565</formula1>
    </dataValidation>
    <dataValidation type="list" allowBlank="1" sqref="F391">
      <formula1>'Повседневные'!$I$391:$P$391</formula1>
    </dataValidation>
    <dataValidation type="list" allowBlank="1" sqref="F783">
      <formula1>'Повседневные'!$I$783:$P$783</formula1>
    </dataValidation>
    <dataValidation type="list" allowBlank="1" sqref="F611">
      <formula1>'Повседневные'!$I$611:$P$611</formula1>
    </dataValidation>
    <dataValidation type="list" allowBlank="1" sqref="F60">
      <formula1>'Повседневные'!$I$60:$P$60</formula1>
    </dataValidation>
    <dataValidation type="list" allowBlank="1" sqref="F638">
      <formula1>'Повседневные'!$I$638:$P$638</formula1>
    </dataValidation>
    <dataValidation type="list" allowBlank="1" sqref="F898">
      <formula1>'Повседневные'!$I$898:$P$898</formula1>
    </dataValidation>
    <dataValidation type="list" allowBlank="1" sqref="F334">
      <formula1>'Повседневные'!$I$334:$P$334</formula1>
    </dataValidation>
    <dataValidation type="list" allowBlank="1" sqref="F160">
      <formula1>'Повседневные'!$I$160:$P$160</formula1>
    </dataValidation>
    <dataValidation type="list" allowBlank="1" sqref="F552">
      <formula1>'Повседневные'!$I$552:$P$552</formula1>
    </dataValidation>
    <dataValidation type="list" allowBlank="1" sqref="F944">
      <formula1>'Повседневные'!$I$944:$P$944</formula1>
    </dataValidation>
    <dataValidation type="list" allowBlank="1" sqref="F275">
      <formula1>'Повседневные'!$I$275:$P$275</formula1>
    </dataValidation>
    <dataValidation type="list" allowBlank="1" sqref="F407">
      <formula1>'Повседневные'!$I$407:$P$407</formula1>
    </dataValidation>
    <dataValidation type="list" allowBlank="1" sqref="F667">
      <formula1>'Повседневные'!$I$667:$P$667</formula1>
    </dataValidation>
    <dataValidation type="list" allowBlank="1" sqref="F103">
      <formula1>'Повседневные'!$I$103:$P$103</formula1>
    </dataValidation>
    <dataValidation type="list" allowBlank="1" sqref="F321">
      <formula1>'Повседневные'!$I$321:$P$321</formula1>
    </dataValidation>
    <dataValidation type="list" allowBlank="1" sqref="F713">
      <formula1>'Повседневные'!$I$713:$P$713</formula1>
    </dataValidation>
    <dataValidation type="list" allowBlank="1" sqref="F419">
      <formula1>'Повседневные'!$I$419:$P$419</formula1>
    </dataValidation>
    <dataValidation type="list" allowBlank="1" sqref="F767">
      <formula1>'Повседневные'!$I$767:$P$767</formula1>
    </dataValidation>
    <dataValidation type="list" allowBlank="1" sqref="F813">
      <formula1>'Повседневные'!$I$813:$P$813</formula1>
    </dataValidation>
    <dataValidation type="list" allowBlank="1" sqref="F436">
      <formula1>'Повседневные'!$I$436:$P$436</formula1>
    </dataValidation>
    <dataValidation type="list" allowBlank="1" sqref="F784">
      <formula1>'Повседневные'!$I$784:$P$784</formula1>
    </dataValidation>
    <dataValidation type="list" allowBlank="1" sqref="F742">
      <formula1>'Повседневные'!$I$742:$P$742</formula1>
    </dataValidation>
    <dataValidation type="list" allowBlank="1" sqref="F536">
      <formula1>'Повседневные'!$I$536:$P$536</formula1>
    </dataValidation>
    <dataValidation type="list" allowBlank="1" sqref="F796">
      <formula1>'Повседневные'!$I$796:$P$796</formula1>
    </dataValidation>
    <dataValidation type="list" allowBlank="1" sqref="F842">
      <formula1>'Повседневные'!$I$842:$P$842</formula1>
    </dataValidation>
    <dataValidation type="list" allowBlank="1" sqref="F74">
      <formula1>'Повседневные'!$I$74:$P$74</formula1>
    </dataValidation>
    <dataValidation type="list" allowBlank="1" sqref="F159">
      <formula1>'Повседневные'!$I$159:$P$159</formula1>
    </dataValidation>
    <dataValidation type="list" allowBlank="1" sqref="F205">
      <formula1>'Повседневные'!$I$205:$P$205</formula1>
    </dataValidation>
    <dataValidation type="list" allowBlank="1" sqref="F259">
      <formula1>'Повседневные'!$I$259:$P$259</formula1>
    </dataValidation>
    <dataValidation type="list" allowBlank="1" sqref="F553">
      <formula1>'Повседневные'!$I$553:$P$553</formula1>
    </dataValidation>
    <dataValidation type="list" allowBlank="1" sqref="F511">
      <formula1>'Повседневные'!$I$511:$P$511</formula1>
    </dataValidation>
    <dataValidation type="list" allowBlank="1" sqref="F305">
      <formula1>'Повседневные'!$I$305:$P$305</formula1>
    </dataValidation>
    <dataValidation type="list" allowBlank="1" sqref="F53">
      <formula1>'Повседневные'!$I$53:$P$53</formula1>
    </dataValidation>
    <dataValidation type="list" allowBlank="1" sqref="F229">
      <formula1>'Повседневные'!$I$229:$P$229</formula1>
    </dataValidation>
    <dataValidation type="list" allowBlank="1" sqref="F489">
      <formula1>'Повседневные'!$I$489:$P$489</formula1>
    </dataValidation>
    <dataValidation type="list" allowBlank="1" sqref="F143">
      <formula1>'Повседневные'!$I$143:$P$143</formula1>
    </dataValidation>
    <dataValidation type="list" allowBlank="1" sqref="F841">
      <formula1>'Повседневные'!$I$841:$P$841</formula1>
    </dataValidation>
    <dataValidation type="list" allowBlank="1" sqref="F65">
      <formula1>'Повседневные'!$I$65:$P$65</formula1>
    </dataValidation>
    <dataValidation type="list" allowBlank="1" sqref="F322">
      <formula1>'Повседневные'!$I$322:$P$322</formula1>
    </dataValidation>
    <dataValidation type="list" allowBlank="1" sqref="F714">
      <formula1>'Повседневные'!$I$714:$P$714</formula1>
    </dataValidation>
    <dataValidation type="list" allowBlank="1" sqref="F582">
      <formula1>'Повседневные'!$I$582:$P$582</formula1>
    </dataValidation>
    <dataValidation type="list" allowBlank="1" sqref="F258">
      <formula1>'Повседневные'!$I$258:$P$258</formula1>
    </dataValidation>
    <dataValidation type="list" allowBlank="1" sqref="F172">
      <formula1>'Повседневные'!$I$172:$P$172</formula1>
    </dataValidation>
    <dataValidation type="list" allowBlank="1" sqref="F610">
      <formula1>'Повседневные'!$I$610:$P$610</formula1>
    </dataValidation>
    <dataValidation type="list" allowBlank="1" sqref="F829">
      <formula1>'Повседневные'!$I$829:$P$829</formula1>
    </dataValidation>
    <dataValidation type="list" allowBlank="1" sqref="F351">
      <formula1>'Повседневные'!$I$351:$P$351</formula1>
    </dataValidation>
    <dataValidation type="list" allowBlank="1" sqref="F743">
      <formula1>'Повседневные'!$I$743:$P$743</formula1>
    </dataValidation>
    <dataValidation type="list" allowBlank="1" sqref="F581">
      <formula1>'Повседневные'!$I$581:$P$581</formula1>
    </dataValidation>
    <dataValidation type="list" allowBlank="1" sqref="F375">
      <formula1>'Повседневные'!$I$375:$P$375</formula1>
    </dataValidation>
    <dataValidation type="list" allowBlank="1" sqref="F433">
      <formula1>'Повседневные'!$I$433:$P$433</formula1>
    </dataValidation>
    <dataValidation type="list" allowBlank="1" sqref="F292">
      <formula1>'Повседневные'!$I$292:$P$292</formula1>
    </dataValidation>
    <dataValidation type="list" allowBlank="1" sqref="F120">
      <formula1>'Повседневные'!$I$120:$P$120</formula1>
    </dataValidation>
    <dataValidation type="list" allowBlank="1" sqref="F828">
      <formula1>'Повседневные'!$I$828:$P$828</formula1>
    </dataValidation>
    <dataValidation type="list" allowBlank="1" sqref="F81">
      <formula1>'Повседневные'!$I$81:$P$81</formula1>
    </dataValidation>
    <dataValidation type="list" allowBlank="1" sqref="F350">
      <formula1>'Повседневные'!$I$350:$P$350</formula1>
    </dataValidation>
    <dataValidation type="list" allowBlank="1" sqref="F144">
      <formula1>'Повседневные'!$I$144:$P$144</formula1>
    </dataValidation>
    <dataValidation type="list" allowBlank="1" sqref="F58">
      <formula1>'Повседневные'!$I$58:$P$58</formula1>
    </dataValidation>
    <dataValidation type="list" allowBlank="1" sqref="F46">
      <formula1>'Повседневные'!$I$46:$P$46</formula1>
    </dataValidation>
    <dataValidation type="list" allowBlank="1" sqref="F202">
      <formula1>'Повседневные'!$I$202:$P$202</formula1>
    </dataValidation>
    <dataValidation type="list" allowBlank="1" sqref="F374">
      <formula1>'Повседневные'!$I$374:$P$374</formula1>
    </dataValidation>
    <dataValidation type="list" allowBlank="1" sqref="F539">
      <formula1>'Повседневные'!$I$539:$P$539</formula1>
    </dataValidation>
    <dataValidation type="list" allowBlank="1" sqref="F799">
      <formula1>'Повседневные'!$I$799:$P$799</formula1>
    </dataValidation>
    <dataValidation type="list" allowBlank="1" sqref="F945">
      <formula1>'Повседневные'!$I$945:$P$945</formula1>
    </dataValidation>
    <dataValidation type="list" allowBlank="1" sqref="F10">
      <formula1>'Повседневные'!$I$10:$P$10</formula1>
    </dataValidation>
    <dataValidation type="list" allowBlank="1" sqref="F22">
      <formula1>'Повседневные'!$I$22:$P$22</formula1>
    </dataValidation>
    <dataValidation type="list" allowBlank="1" sqref="F308">
      <formula1>'Повседневные'!$I$308:$P$308</formula1>
    </dataValidation>
    <dataValidation type="list" allowBlank="1" sqref="F589">
      <formula1>'Повседневные'!$I$589:$P$589</formula1>
    </dataValidation>
    <dataValidation type="list" allowBlank="1" sqref="F176">
      <formula1>'Повседневные'!$I$176:$P$176</formula1>
    </dataValidation>
    <dataValidation type="list" allowBlank="1" sqref="F197">
      <formula1>'Повседневные'!$I$197:$P$197</formula1>
    </dataValidation>
    <dataValidation type="list" allowBlank="1" sqref="F222">
      <formula1>'Повседневные'!$I$222:$P$222</formula1>
    </dataValidation>
    <dataValidation type="list" allowBlank="1" sqref="F614">
      <formula1>'Повседневные'!$I$614:$P$614</formula1>
    </dataValidation>
    <dataValidation type="list" allowBlank="1" sqref="F895">
      <formula1>'Повседневные'!$I$895:$P$895</formula1>
    </dataValidation>
    <dataValidation type="list" allowBlank="1" sqref="F941">
      <formula1>'Повседневные'!$I$941:$P$941</formula1>
    </dataValidation>
    <dataValidation type="list" allowBlank="1" sqref="F30">
      <formula1>'Повседневные'!$I$30:$P$30</formula1>
    </dataValidation>
    <dataValidation type="list" allowBlank="1" sqref="F358">
      <formula1>'Повседневные'!$I$358:$P$358</formula1>
    </dataValidation>
    <dataValidation type="list" allowBlank="1" sqref="F272">
      <formula1>'Повседневные'!$I$272:$P$272</formula1>
    </dataValidation>
    <dataValidation type="list" allowBlank="1" sqref="F664">
      <formula1>'Повседневные'!$I$664:$P$664</formula1>
    </dataValidation>
    <dataValidation type="list" allowBlank="1" sqref="F685">
      <formula1>'Повседневные'!$I$685:$P$685</formula1>
    </dataValidation>
    <dataValidation type="list" allowBlank="1" sqref="F710">
      <formula1>'Повседневные'!$I$710:$P$710</formula1>
    </dataValidation>
    <dataValidation type="list" allowBlank="1" sqref="F519">
      <formula1>'Повседневные'!$I$519:$P$519</formula1>
    </dataValidation>
    <dataValidation type="list" allowBlank="1" sqref="F454">
      <formula1>'Повседневные'!$I$454:$P$454</formula1>
    </dataValidation>
    <dataValidation type="list" allowBlank="1" sqref="F206">
      <formula1>'Повседневные'!$I$206:$P$206</formula1>
    </dataValidation>
    <dataValidation type="list" allowBlank="1" sqref="F749">
      <formula1>'Повседневные'!$I$749:$P$749</formula1>
    </dataValidation>
    <dataValidation type="list" allowBlank="1" sqref="F760">
      <formula1>'Повседневные'!$I$760:$P$760</formula1>
    </dataValidation>
    <dataValidation type="list" allowBlank="1" sqref="F684">
      <formula1>'Повседневные'!$I$684:$P$684</formula1>
    </dataValidation>
    <dataValidation type="list" allowBlank="1" sqref="F271">
      <formula1>'Повседневные'!$I$271:$P$271</formula1>
    </dataValidation>
    <dataValidation type="list" allowBlank="1" sqref="F80">
      <formula1>'Повседневные'!$I$80:$P$80</formula1>
    </dataValidation>
    <dataValidation type="list" allowBlank="1" sqref="F177">
      <formula1>'Повседневные'!$I$177:$P$177</formula1>
    </dataValidation>
    <dataValidation type="list" allowBlank="1" sqref="F766">
      <formula1>'Повседневные'!$I$766:$P$766</formula1>
    </dataValidation>
    <dataValidation type="list" allowBlank="1" sqref="F223">
      <formula1>'Повседневные'!$I$223:$P$223</formula1>
    </dataValidation>
    <dataValidation type="list" allowBlank="1" sqref="F518">
      <formula1>'Повседневные'!$I$518:$P$518</formula1>
    </dataValidation>
    <dataValidation type="list" allowBlank="1" sqref="F15">
      <formula1>'Повседневные'!$I$15:$P$15</formula1>
    </dataValidation>
    <dataValidation type="list" allowBlank="1" sqref="F39">
      <formula1>'Повседневные'!$I$39:$P$39</formula1>
    </dataValidation>
    <dataValidation type="list" allowBlank="1" sqref="F453">
      <formula1>'Повседневные'!$I$453:$P$453</formula1>
    </dataValidation>
    <dataValidation type="list" allowBlank="1" sqref="F8">
      <formula1>'Повседневные'!$I$8:$P$8</formula1>
    </dataValidation>
    <dataValidation type="list" allowBlank="1" sqref="F927">
      <formula1>'Повседневные'!$I$927:$P$927</formula1>
    </dataValidation>
    <dataValidation type="list" allowBlank="1" sqref="F535">
      <formula1>'Повседневные'!$I$535:$P$535</formula1>
    </dataValidation>
    <dataValidation type="list" allowBlank="1" sqref="F276">
      <formula1>'Повседневные'!$I$276:$P$276</formula1>
    </dataValidation>
    <dataValidation type="list" allowBlank="1" sqref="F668">
      <formula1>'Повседневные'!$I$668:$P$668</formula1>
    </dataValidation>
    <dataValidation type="list" allowBlank="1" sqref="F190">
      <formula1>'Повседневные'!$I$190:$P$190</formula1>
    </dataValidation>
    <dataValidation type="list" allowBlank="1" sqref="F301">
      <formula1>'Повседневные'!$I$301:$P$301</formula1>
    </dataValidation>
    <dataValidation type="list" allowBlank="1" sqref="F193">
      <formula1>'Повседневные'!$I$193:$P$193</formula1>
    </dataValidation>
    <dataValidation type="list" allowBlank="1" sqref="F304">
      <formula1>'Повседневные'!$I$304:$P$304</formula1>
    </dataValidation>
    <dataValidation type="list" allowBlank="1" sqref="F585">
      <formula1>'Повседневные'!$I$585:$P$585</formula1>
    </dataValidation>
    <dataValidation type="list" allowBlank="1" sqref="F437">
      <formula1>'Повседневные'!$I$437:$P$437</formula1>
    </dataValidation>
    <dataValidation type="list" allowBlank="1" sqref="F588">
      <formula1>'Повседневные'!$I$588:$P$588</formula1>
    </dataValidation>
    <dataValidation type="list" allowBlank="1" sqref="F940">
      <formula1>'Повседневные'!$I$940:$P$940</formula1>
    </dataValidation>
    <dataValidation type="list" allowBlank="1" sqref="F127">
      <formula1>'Повседневные'!$I$127:$P$127</formula1>
    </dataValidation>
    <dataValidation type="list" allowBlank="1" sqref="F681">
      <formula1>'Повседневные'!$I$681:$P$681</formula1>
    </dataValidation>
    <dataValidation type="list" allowBlank="1" sqref="F846">
      <formula1>'Повседневные'!$I$846:$P$846</formula1>
    </dataValidation>
    <dataValidation type="list" allowBlank="1" sqref="F357">
      <formula1>'Повседневные'!$I$357:$P$357</formula1>
    </dataValidation>
    <dataValidation type="list" allowBlank="1" sqref="F209">
      <formula1>'Повседневные'!$I$209:$P$209</formula1>
    </dataValidation>
    <dataValidation type="list" allowBlank="1" sqref="F763">
      <formula1>'Повседневные'!$I$763:$P$763</formula1>
    </dataValidation>
    <dataValidation type="list" allowBlank="1" sqref="F73">
      <formula1>'Повседневные'!$I$73:$P$73</formula1>
    </dataValidation>
    <dataValidation type="list" allowBlank="1" sqref="F928">
      <formula1>'Повседневные'!$I$928:$P$928</formula1>
    </dataValidation>
    <dataValidation type="list" allowBlank="1" sqref="F450">
      <formula1>'Повседневные'!$I$450:$P$450</formula1>
    </dataValidation>
    <dataValidation type="list" allowBlank="1" sqref="F615">
      <formula1>'Повседневные'!$I$615:$P$615</formula1>
    </dataValidation>
    <dataValidation type="list" allowBlank="1" sqref="F126">
      <formula1>'Повседневные'!$I$126:$P$126</formula1>
    </dataValidation>
    <dataValidation type="list" allowBlank="1" sqref="F680">
      <formula1>'Повседневные'!$I$680:$P$680</formula1>
    </dataValidation>
    <dataValidation type="list" allowBlank="1" sqref="F845">
      <formula1>'Повседневные'!$I$845:$P$845</formula1>
    </dataValidation>
    <dataValidation type="list" allowBlank="1" sqref="F899">
      <formula1>'Повседневные'!$I$899:$P$899</formula1>
    </dataValidation>
    <dataValidation type="list" allowBlank="1" sqref="F532">
      <formula1>'Повседневные'!$I$532:$P$532</formula1>
    </dataValidation>
    <dataValidation type="list" allowBlank="1" sqref="F586">
      <formula1>'Повседневные'!$I$586:$P$586</formula1>
    </dataValidation>
    <dataValidation type="list" allowBlank="1" sqref="F502">
      <formula1>'Повседневные'!$I$502:$P$502</formula1>
    </dataValidation>
    <dataValidation type="list" allowBlank="1" sqref="F632">
      <formula1>'Повседневные'!$I$632:$P$632</formula1>
    </dataValidation>
    <dataValidation type="list" allowBlank="1" sqref="F355">
      <formula1>'Повседневные'!$I$355:$P$355</formula1>
    </dataValidation>
    <dataValidation type="list" allowBlank="1" sqref="F617">
      <formula1>'Повседневные'!$I$617:$P$617</formula1>
    </dataValidation>
    <dataValidation type="list" allowBlank="1" sqref="F485">
      <formula1>'Повседневные'!$I$485:$P$485</formula1>
    </dataValidation>
    <dataValidation type="list" allowBlank="1" sqref="F401">
      <formula1>'Повседневные'!$I$401:$P$401</formula1>
    </dataValidation>
    <dataValidation type="list" allowBlank="1" sqref="F923">
      <formula1>'Повседневные'!$I$923:$P$923</formula1>
    </dataValidation>
    <dataValidation type="list" allowBlank="1" sqref="F3">
      <formula1>'Повседневные'!$I$3:$P$3</formula1>
    </dataValidation>
    <dataValidation type="list" allowBlank="1" sqref="F75">
      <formula1>'Повседневные'!$I$75:$P$75</formula1>
    </dataValidation>
    <dataValidation type="list" allowBlank="1" sqref="F908">
      <formula1>'Повседневные'!$I$908:$P$908</formula1>
    </dataValidation>
    <dataValidation type="list" allowBlank="1" sqref="F124">
      <formula1>'Повседневные'!$I$124:$P$124</formula1>
    </dataValidation>
    <dataValidation type="list" allowBlank="1" sqref="F254">
      <formula1>'Повседневные'!$I$254:$P$254</formula1>
    </dataValidation>
    <dataValidation type="list" allowBlank="1" sqref="F384">
      <formula1>'Повседневные'!$I$384:$P$384</formula1>
    </dataValidation>
    <dataValidation type="list" allowBlank="1" sqref="F18">
      <formula1>'Повседневные'!$I$18:$P$18</formula1>
    </dataValidation>
    <dataValidation type="list" allowBlank="1" sqref="F136">
      <formula1>'Повседневные'!$I$136:$P$136</formula1>
    </dataValidation>
    <dataValidation type="list" allowBlank="1" sqref="F68">
      <formula1>'Повседневные'!$I$68:$P$68</formula1>
    </dataValidation>
    <dataValidation type="list" allowBlank="1" sqref="F266">
      <formula1>'Повседневные'!$I$266:$P$266</formula1>
    </dataValidation>
    <dataValidation type="list" allowBlank="1" sqref="F396">
      <formula1>'Повседневные'!$I$396:$P$396</formula1>
    </dataValidation>
    <dataValidation type="list" allowBlank="1" sqref="F153">
      <formula1>'Повседневные'!$I$153:$P$153</formula1>
    </dataValidation>
    <dataValidation type="list" allowBlank="1" sqref="F283">
      <formula1>'Повседневные'!$I$283:$P$283</formula1>
    </dataValidation>
    <dataValidation type="list" allowBlank="1" sqref="F807">
      <formula1>'Повседневные'!$I$807:$P$807</formula1>
    </dataValidation>
    <dataValidation type="list" allowBlank="1" sqref="F937">
      <formula1>'Повседневные'!$I$937:$P$937</formula1>
    </dataValidation>
    <dataValidation type="list" allowBlank="1" sqref="F819">
      <formula1>'Повседневные'!$I$819:$P$819</formula1>
    </dataValidation>
    <dataValidation type="list" allowBlank="1" sqref="F165">
      <formula1>'Повседневные'!$I$165:$P$165</formula1>
    </dataValidation>
    <dataValidation type="list" allowBlank="1" sqref="F295">
      <formula1>'Повседневные'!$I$295:$P$295</formula1>
    </dataValidation>
    <dataValidation type="list" allowBlank="1" sqref="F949">
      <formula1>'Повседневные'!$I$949:$P$949</formula1>
    </dataValidation>
    <dataValidation type="list" allowBlank="1" sqref="F706">
      <formula1>'Повседневные'!$I$706:$P$706</formula1>
    </dataValidation>
    <dataValidation type="list" allowBlank="1" sqref="F836">
      <formula1>'Повседневные'!$I$836:$P$836</formula1>
    </dataValidation>
    <dataValidation type="list" allowBlank="1" sqref="F182">
      <formula1>'Повседневные'!$I$182:$P$182</formula1>
    </dataValidation>
    <dataValidation type="list" allowBlank="1" sqref="F194">
      <formula1>'Повседневные'!$I$194:$P$194</formula1>
    </dataValidation>
    <dataValidation type="list" allowBlank="1" sqref="F718">
      <formula1>'Повседневные'!$I$718:$P$718</formula1>
    </dataValidation>
    <dataValidation type="list" allowBlank="1" sqref="F848">
      <formula1>'Повседневные'!$I$848:$P$848</formula1>
    </dataValidation>
    <dataValidation type="list" allowBlank="1" sqref="F338">
      <formula1>'Повседневные'!$I$338:$P$338</formula1>
    </dataValidation>
    <dataValidation type="list" allowBlank="1" sqref="F598">
      <formula1>'Повседневные'!$I$598:$P$598</formula1>
    </dataValidation>
    <dataValidation type="list" allowBlank="1" sqref="F122">
      <formula1>'Повседневные'!$I$122:$P$122</formula1>
    </dataValidation>
    <dataValidation type="list" allowBlank="1" sqref="F382">
      <formula1>'Повседневные'!$I$382:$P$382</formula1>
    </dataValidation>
    <dataValidation type="list" allowBlank="1" sqref="F950:F1950">
      <formula1>'Повседневные'!$I$950:$P$950</formula1>
    </dataValidation>
    <dataValidation type="list" allowBlank="1" sqref="F167">
      <formula1>'Повседневные'!$I$167:$P$167</formula1>
    </dataValidation>
    <dataValidation type="list" allowBlank="1" sqref="F605">
      <formula1>'Повседневные'!$I$605:$P$605</formula1>
    </dataValidation>
    <dataValidation type="list" allowBlank="1" sqref="F865">
      <formula1>'Повседневные'!$I$865:$P$865</formula1>
    </dataValidation>
    <dataValidation type="list" allowBlank="1" sqref="F107">
      <formula1>'Повседневные'!$I$107:$P$107</formula1>
    </dataValidation>
    <dataValidation type="list" allowBlank="1" sqref="F367">
      <formula1>'Повседневные'!$I$367:$P$367</formula1>
    </dataValidation>
    <dataValidation type="list" allowBlank="1" sqref="F805">
      <formula1>'Повседневные'!$I$805:$P$805</formula1>
    </dataValidation>
    <dataValidation type="list" allowBlank="1" sqref="F151">
      <formula1>'Повседневные'!$I$151:$P$151</formula1>
    </dataValidation>
    <dataValidation type="list" allowBlank="1" sqref="F11">
      <formula1>'Повседневные'!$I$11:$P$11</formula1>
    </dataValidation>
    <dataValidation type="list" allowBlank="1" sqref="F89">
      <formula1>'Повседневные'!$I$89:$P$89</formula1>
    </dataValidation>
    <dataValidation type="list" allowBlank="1" sqref="F82">
      <formula1>'Повседневные'!$I$82:$P$82</formula1>
    </dataValidation>
    <dataValidation type="list" allowBlank="1" sqref="F196">
      <formula1>'Повседневные'!$I$196:$P$196</formula1>
    </dataValidation>
    <dataValidation type="list" allowBlank="1" sqref="F634">
      <formula1>'Повседневные'!$I$634:$P$634</formula1>
    </dataValidation>
    <dataValidation type="list" allowBlank="1" sqref="F180">
      <formula1>'Повседневные'!$I$180:$P$180</formula1>
    </dataValidation>
    <dataValidation type="list" allowBlank="1" sqref="F834">
      <formula1>'Повседневные'!$I$834:$P$834</formula1>
    </dataValidation>
    <dataValidation type="list" allowBlank="1" sqref="F716">
      <formula1>'Повседневные'!$I$716:$P$716</formula1>
    </dataValidation>
    <dataValidation type="list" allowBlank="1" sqref="F487">
      <formula1>'Повседневные'!$I$487:$P$487</formula1>
    </dataValidation>
    <dataValidation type="list" allowBlank="1" sqref="F109">
      <formula1>'Повседневные'!$I$109:$P$109</formula1>
    </dataValidation>
    <dataValidation type="list" allowBlank="1" sqref="F403">
      <formula1>'Повседневные'!$I$403:$P$403</formula1>
    </dataValidation>
    <dataValidation type="list" allowBlank="1" sqref="F369">
      <formula1>'Повседневные'!$I$369:$P$369</formula1>
    </dataValidation>
    <dataValidation type="list" allowBlank="1" sqref="F721">
      <formula1>'Повседневные'!$I$721:$P$721</formula1>
    </dataValidation>
    <dataValidation type="list" allowBlank="1" sqref="F603">
      <formula1>'Повседневные'!$I$603:$P$603</formula1>
    </dataValidation>
    <dataValidation type="list" allowBlank="1" sqref="F863">
      <formula1>'Повседневные'!$I$863:$P$863</formula1>
    </dataValidation>
    <dataValidation type="list" allowBlank="1" sqref="F569">
      <formula1>'Повседневные'!$I$569:$P$569</formula1>
    </dataValidation>
    <dataValidation type="list" allowBlank="1" sqref="F256">
      <formula1>'Повседневные'!$I$256:$P$256</formula1>
    </dataValidation>
    <dataValidation type="list" allowBlank="1" sqref="F921">
      <formula1>'Повседневные'!$I$921:$P$921</formula1>
    </dataValidation>
    <dataValidation type="list" allowBlank="1" sqref="F138">
      <formula1>'Повседневные'!$I$138:$P$138</formula1>
    </dataValidation>
    <dataValidation type="list" allowBlank="1" sqref="F398">
      <formula1>'Повседневные'!$I$398:$P$398</formula1>
    </dataValidation>
    <dataValidation type="list" allowBlank="1" sqref="F750">
      <formula1>'Повседневные'!$I$750:$P$750</formula1>
    </dataValidation>
    <dataValidation type="list" allowBlank="1" sqref="F72">
      <formula1>'Повседневные'!$I$72:$P$72</formula1>
    </dataValidation>
    <dataValidation type="list" allowBlank="1" sqref="F809">
      <formula1>'Повседневные'!$I$809:$P$809</formula1>
    </dataValidation>
    <dataValidation type="list" allowBlank="1" sqref="F155">
      <formula1>'Повседневные'!$I$155:$P$155</formula1>
    </dataValidation>
    <dataValidation type="list" allowBlank="1" sqref="F394">
      <formula1>'Повседневные'!$I$394:$P$394</formula1>
    </dataValidation>
    <dataValidation type="list" allowBlank="1" sqref="F723">
      <formula1>'Повседневные'!$I$723:$P$723</formula1>
    </dataValidation>
    <dataValidation type="list" allowBlank="1" sqref="F832">
      <formula1>'Повседневные'!$I$832:$P$832</formula1>
    </dataValidation>
    <dataValidation type="list" allowBlank="1" sqref="F249">
      <formula1>'Повседневные'!$I$249:$P$249</formula1>
    </dataValidation>
    <dataValidation type="list" allowBlank="1" sqref="F379">
      <formula1>'Повседневные'!$I$379:$P$379</formula1>
    </dataValidation>
    <dataValidation type="list" allowBlank="1" sqref="F817">
      <formula1>'Повседневные'!$I$817:$P$817</formula1>
    </dataValidation>
    <dataValidation type="list" allowBlank="1" sqref="F947">
      <formula1>'Повседневные'!$I$947:$P$947</formula1>
    </dataValidation>
    <dataValidation type="list" allowBlank="1" sqref="F163">
      <formula1>'Повседневные'!$I$163:$P$163</formula1>
    </dataValidation>
    <dataValidation type="list" allowBlank="1" sqref="F293">
      <formula1>'Повседневные'!$I$293:$P$293</formula1>
    </dataValidation>
    <dataValidation type="list" allowBlank="1" sqref="F882">
      <formula1>'Повседневные'!$I$882:$P$882</formula1>
    </dataValidation>
    <dataValidation type="list" allowBlank="1" sqref="F601">
      <formula1>'Повседневные'!$I$601:$P$601</formula1>
    </dataValidation>
    <dataValidation type="list" allowBlank="1" sqref="F731">
      <formula1>'Повседневные'!$I$731:$P$731</formula1>
    </dataValidation>
    <dataValidation type="list" allowBlank="1" sqref="F96">
      <formula1>'Повседневные'!$I$96:$P$96</formula1>
    </dataValidation>
    <dataValidation type="list" allowBlank="1" sqref="F148">
      <formula1>'Повседневные'!$I$148:$P$148</formula1>
    </dataValidation>
    <dataValidation type="list" allowBlank="1" sqref="F737">
      <formula1>'Повседневные'!$I$737:$P$737</formula1>
    </dataValidation>
    <dataValidation type="list" allowBlank="1" sqref="F867">
      <formula1>'Повседневные'!$I$867:$P$867</formula1>
    </dataValidation>
    <dataValidation type="list" allowBlank="1" sqref="F336">
      <formula1>'Повседневные'!$I$336:$P$336</formula1>
    </dataValidation>
    <dataValidation type="list" allowBlank="1" sqref="F500">
      <formula1>'Повседневные'!$I$500:$P$500</formula1>
    </dataValidation>
    <dataValidation type="list" allowBlank="1" sqref="F466">
      <formula1>'Повседневные'!$I$466:$P$466</formula1>
    </dataValidation>
    <dataValidation type="list" allowBlank="1" sqref="F506">
      <formula1>'Повседневные'!$I$506:$P$506</formula1>
    </dataValidation>
    <dataValidation type="list" allowBlank="1" sqref="F636">
      <formula1>'Повседневные'!$I$636:$P$636</formula1>
    </dataValidation>
    <dataValidation type="list" allowBlank="1" sqref="F483">
      <formula1>'Повседневные'!$I$483:$P$483</formula1>
    </dataValidation>
    <dataValidation type="list" allowBlank="1" sqref="F105">
      <formula1>'Повседневные'!$I$105:$P$105</formula1>
    </dataValidation>
    <dataValidation type="list" allowBlank="1" sqref="F235">
      <formula1>'Повседневные'!$I$235:$P$235</formula1>
    </dataValidation>
    <dataValidation type="list" allowBlank="1" sqref="F824">
      <formula1>'Повседневные'!$I$824:$P$824</formula1>
    </dataValidation>
    <dataValidation type="list" allowBlank="1" sqref="F170">
      <formula1>'Повседневные'!$I$170:$P$170</formula1>
    </dataValidation>
    <dataValidation type="list" allowBlank="1" sqref="F468">
      <formula1>'Повседневные'!$I$468:$P$468</formula1>
    </dataValidation>
    <dataValidation type="list" allowBlank="1" sqref="F252">
      <formula1>'Повседневные'!$I$252:$P$252</formula1>
    </dataValidation>
    <dataValidation type="list" allowBlank="1" sqref="F906">
      <formula1>'Повседневные'!$I$906:$P$906</formula1>
    </dataValidation>
    <dataValidation type="list" allowBlank="1" sqref="F820">
      <formula1>'Повседневные'!$I$820:$P$820</formula1>
    </dataValidation>
    <dataValidation type="list" allowBlank="1" sqref="F297">
      <formula1>'Повседневные'!$I$297:$P$297</formula1>
    </dataValidation>
    <dataValidation type="list" allowBlank="1" sqref="F735">
      <formula1>'Повседневные'!$I$735:$P$735</formula1>
    </dataValidation>
    <dataValidation type="list" allowBlank="1" sqref="F237">
      <formula1>'Повседневные'!$I$237:$P$237</formula1>
    </dataValidation>
    <dataValidation type="list" allowBlank="1" sqref="F388">
      <formula1>'Повседневные'!$I$388:$P$388</formula1>
    </dataValidation>
    <dataValidation type="list" allowBlank="1" sqref="F740">
      <formula1>'Повседневные'!$I$740:$P$740</formula1>
    </dataValidation>
    <dataValidation type="list" allowBlank="1" sqref="F697">
      <formula1>'Повседневные'!$I$697:$P$697</formula1>
    </dataValidation>
    <dataValidation type="list" allowBlank="1" sqref="F504">
      <formula1>'Повседневные'!$I$504:$P$504</formula1>
    </dataValidation>
    <dataValidation type="list" allowBlank="1" sqref="F481">
      <formula1>'Повседневные'!$I$481:$P$481</formula1>
    </dataValidation>
    <dataValidation type="list" allowBlank="1" sqref="F157">
      <formula1>'Повседневные'!$I$157:$P$157</formula1>
    </dataValidation>
    <dataValidation type="list" allowBlank="1" sqref="F822">
      <formula1>'Повседневные'!$I$822:$P$822</formula1>
    </dataValidation>
    <dataValidation type="list" allowBlank="1" sqref="F299">
      <formula1>'Повседневные'!$I$299:$P$299</formula1>
    </dataValidation>
    <dataValidation type="list" allowBlank="1" sqref="F651">
      <formula1>'Повседневные'!$I$651:$P$651</formula1>
    </dataValidation>
    <dataValidation type="list" allowBlank="1" sqref="F239">
      <formula1>'Повседневные'!$I$239:$P$239</formula1>
    </dataValidation>
    <dataValidation type="list" allowBlank="1" sqref="F250">
      <formula1>'Повседневные'!$I$250:$P$250</formula1>
    </dataValidation>
    <dataValidation type="list" allowBlank="1" sqref="F904">
      <formula1>'Повседневные'!$I$904:$P$904</formula1>
    </dataValidation>
    <dataValidation type="list" allowBlank="1" sqref="F392">
      <formula1>'Повседневные'!$I$392:$P$392</formula1>
    </dataValidation>
    <dataValidation type="list" allowBlank="1" sqref="F733">
      <formula1>'Повседневные'!$I$733:$P$733</formula1>
    </dataValidation>
    <dataValidation type="list" allowBlank="1" sqref="F699">
      <formula1>'Повседневные'!$I$699:$P$699</formula1>
    </dataValidation>
    <dataValidation type="list" allowBlank="1" sqref="F386">
      <formula1>'Повседневные'!$I$386:$P$386</formula1>
    </dataValidation>
    <dataValidation type="list" allowBlank="1" sqref="F420">
      <formula1>'Повседневные'!$I$420:$P$420</formula1>
    </dataValidation>
    <dataValidation type="list" allowBlank="1" sqref="F161">
      <formula1>'Повседневные'!$I$161:$P$161</formula1>
    </dataValidation>
    <dataValidation type="list" allowBlank="1" sqref="F815">
      <formula1>'Повседневные'!$I$815:$P$815</formula1>
    </dataValidation>
    <dataValidation type="list" allowBlank="1" sqref="F869">
      <formula1>'Повседневные'!$I$869:$P$869</formula1>
    </dataValidation>
    <dataValidation type="list" allowBlank="1" sqref="F880">
      <formula1>'Повседневные'!$I$880:$P$880</formula1>
    </dataValidation>
    <dataValidation type="list" allowBlank="1" sqref="F695">
      <formula1>'Повседневные'!$I$695:$P$695</formula1>
    </dataValidation>
    <dataValidation type="list" allowBlank="1" sqref="F523">
      <formula1>'Повседневные'!$I$523:$P$523</formula1>
    </dataValidation>
    <dataValidation type="list" allowBlank="1" sqref="F653">
      <formula1>'Повседневные'!$I$653:$P$653</formula1>
    </dataValidation>
    <dataValidation type="list" allowBlank="1" sqref="F508">
      <formula1>'Повседневные'!$I$508:$P$508</formula1>
    </dataValidation>
    <dataValidation type="list" allowBlank="1" sqref="F464">
      <formula1>'Повседневные'!$I$464:$P$464</formula1>
    </dataValidation>
    <dataValidation type="list" allowBlank="1" sqref="F594">
      <formula1>'Повседневные'!$I$594:$P$594</formula1>
    </dataValidation>
    <dataValidation type="list" allowBlank="1" sqref="F422">
      <formula1>'Повседневные'!$I$422:$P$422</formula1>
    </dataValidation>
    <dataValidation type="list" allowBlank="1" sqref="F902">
      <formula1>'Повседневные'!$I$902:$P$902</formula1>
    </dataValidation>
    <dataValidation type="list" allowBlank="1" sqref="F51">
      <formula1>'Повседневные'!$I$51:$P$51</formula1>
    </dataValidation>
    <dataValidation type="list" allowBlank="1" sqref="F319">
      <formula1>'Повседневные'!$I$319:$P$319</formula1>
    </dataValidation>
    <dataValidation type="list" allowBlank="1" sqref="F449">
      <formula1>'Повседневные'!$I$449:$P$449</formula1>
    </dataValidation>
    <dataValidation type="list" allowBlank="1" sqref="F579">
      <formula1>'Повседневные'!$I$579:$P$579</formula1>
    </dataValidation>
    <dataValidation type="list" allowBlank="1" sqref="F233">
      <formula1>'Повседневные'!$I$233:$P$233</formula1>
    </dataValidation>
    <dataValidation type="list" allowBlank="1" sqref="F363">
      <formula1>'Повседневные'!$I$363:$P$363</formula1>
    </dataValidation>
    <dataValidation type="list" allowBlank="1" sqref="F493">
      <formula1>'Повседневные'!$I$493:$P$493</formula1>
    </dataValidation>
    <dataValidation type="list" allowBlank="1" sqref="F801">
      <formula1>'Повседневные'!$I$801:$P$801</formula1>
    </dataValidation>
    <dataValidation type="list" allowBlank="1" sqref="F931">
      <formula1>'Повседневные'!$I$931:$P$931</formula1>
    </dataValidation>
    <dataValidation type="list" allowBlank="1" sqref="F725">
      <formula1>'Повседневные'!$I$725:$P$725</formula1>
    </dataValidation>
    <dataValidation type="list" allowBlank="1" sqref="F855">
      <formula1>'Повседневные'!$I$855:$P$855</formula1>
    </dataValidation>
    <dataValidation type="list" allowBlank="1" sqref="F99">
      <formula1>'Повседневные'!$I$99:$P$99</formula1>
    </dataValidation>
    <dataValidation type="list" allowBlank="1" sqref="F218">
      <formula1>'Повседневные'!$I$218:$P$218</formula1>
    </dataValidation>
    <dataValidation type="list" allowBlank="1" sqref="F348">
      <formula1>'Повседневные'!$I$348:$P$348</formula1>
    </dataValidation>
    <dataValidation type="list" allowBlank="1" sqref="F478">
      <formula1>'Повседневные'!$I$478:$P$478</formula1>
    </dataValidation>
    <dataValidation type="list" allowBlank="1" sqref="F872">
      <formula1>'Повседневные'!$I$872:$P$872</formula1>
    </dataValidation>
    <dataValidation type="list" allowBlank="1" sqref="F700">
      <formula1>'Повседневные'!$I$700:$P$700</formula1>
    </dataValidation>
    <dataValidation type="list" allowBlank="1" sqref="F830">
      <formula1>'Повседневные'!$I$830:$P$830</formula1>
    </dataValidation>
    <dataValidation type="list" allowBlank="1" sqref="F624">
      <formula1>'Повседневные'!$I$624:$P$624</formula1>
    </dataValidation>
    <dataValidation type="list" allowBlank="1" sqref="F754">
      <formula1>'Повседневные'!$I$754:$P$754</formula1>
    </dataValidation>
    <dataValidation type="list" allowBlank="1" sqref="F884">
      <formula1>'Повседневные'!$I$884:$P$884</formula1>
    </dataValidation>
    <dataValidation type="list" allowBlank="1" sqref="F117">
      <formula1>'Повседневные'!$I$117:$P$117</formula1>
    </dataValidation>
    <dataValidation type="list" allowBlank="1" sqref="F247">
      <formula1>'Повседневные'!$I$247:$P$247</formula1>
    </dataValidation>
    <dataValidation type="list" allowBlank="1" sqref="F289">
      <formula1>'Повседневные'!$I$289:$P$289</formula1>
    </dataValidation>
    <dataValidation type="list" allowBlank="1" sqref="F641">
      <formula1>'Повседневные'!$I$641:$P$641</formula1>
    </dataValidation>
    <dataValidation type="list" allowBlank="1" sqref="F771">
      <formula1>'Повседневные'!$I$771:$P$771</formula1>
    </dataValidation>
    <dataValidation type="list" allowBlank="1" sqref="F317">
      <formula1>'Повседневные'!$I$317:$P$317</formula1>
    </dataValidation>
    <dataValidation type="list" allowBlank="1" sqref="F577">
      <formula1>'Повседневные'!$I$577:$P$577</formula1>
    </dataValidation>
    <dataValidation type="list" allowBlank="1" sqref="F231">
      <formula1>'Повседневные'!$I$231:$P$231</formula1>
    </dataValidation>
    <dataValidation type="list" allowBlank="1" sqref="F491">
      <formula1>'Повседневные'!$I$491:$P$491</formula1>
    </dataValidation>
    <dataValidation type="list" allowBlank="1" sqref="F626">
      <formula1>'Повседневные'!$I$626:$P$626</formula1>
    </dataValidation>
    <dataValidation type="list" allowBlank="1" sqref="F886">
      <formula1>'Повседневные'!$I$886:$P$886</formula1>
    </dataValidation>
    <dataValidation type="list" allowBlank="1" sqref="F410">
      <formula1>'Повседневные'!$I$410:$P$410</formula1>
    </dataValidation>
    <dataValidation type="list" allowBlank="1" sqref="F670">
      <formula1>'Повседневные'!$I$670:$P$670</formula1>
    </dataValidation>
    <dataValidation type="list" allowBlank="1" sqref="F94">
      <formula1>'Повседневные'!$I$94:$P$94</formula1>
    </dataValidation>
    <dataValidation type="list" allowBlank="1" sqref="F346">
      <formula1>'Повседневные'!$I$346:$P$346</formula1>
    </dataValidation>
    <dataValidation type="list" allowBlank="1" sqref="F260">
      <formula1>'Повседневные'!$I$260:$P$260</formula1>
    </dataValidation>
    <dataValidation type="list" allowBlank="1" sqref="F914">
      <formula1>'Повседневные'!$I$914:$P$914</formula1>
    </dataValidation>
    <dataValidation type="list" allowBlank="1" sqref="F870">
      <formula1>'Повседневные'!$I$870:$P$870</formula1>
    </dataValidation>
    <dataValidation type="list" allowBlank="1" sqref="F655">
      <formula1>'Повседневные'!$I$655:$P$655</formula1>
    </dataValidation>
    <dataValidation type="list" allowBlank="1" sqref="F287">
      <formula1>'Повседневные'!$I$287:$P$287</formula1>
    </dataValidation>
    <dataValidation type="list" allowBlank="1" sqref="F115">
      <formula1>'Повседневные'!$I$115:$P$115</formula1>
    </dataValidation>
    <dataValidation type="list" allowBlank="1" sqref="F169">
      <formula1>'Повседневные'!$I$169:$P$169</formula1>
    </dataValidation>
    <dataValidation type="list" allowBlank="1" sqref="F521">
      <formula1>'Повседневные'!$I$521:$P$521</formula1>
    </dataValidation>
    <dataValidation type="list" allowBlank="1" sqref="F693">
      <formula1>'Повседневные'!$I$693:$P$693</formula1>
    </dataValidation>
    <dataValidation type="list" allowBlank="1" sqref="F380">
      <formula1>'Повседневные'!$I$380:$P$380</formula1>
    </dataValidation>
    <dataValidation type="list" allowBlank="1" sqref="F916">
      <formula1>'Повседневные'!$I$916:$P$916</formula1>
    </dataValidation>
    <dataValidation type="list" allowBlank="1" sqref="F262">
      <formula1>'Повседневные'!$I$262:$P$262</formula1>
    </dataValidation>
    <dataValidation type="list" allowBlank="1" sqref="F462">
      <formula1>'Повседневные'!$I$462:$P$462</formula1>
    </dataValidation>
    <dataValidation type="list" allowBlank="1" sqref="F803">
      <formula1>'Повседневные'!$I$803:$P$803</formula1>
    </dataValidation>
    <dataValidation type="list" allowBlank="1" sqref="F857">
      <formula1>'Повседневные'!$I$857:$P$857</formula1>
    </dataValidation>
    <dataValidation type="list" allowBlank="1" sqref="F9">
      <formula1>'Повседневные'!$I$9:$P$9</formula1>
    </dataValidation>
    <dataValidation type="list" allowBlank="1" sqref="F739">
      <formula1>'Повседневные'!$I$739:$P$739</formula1>
    </dataValidation>
    <dataValidation type="list" allowBlank="1" sqref="F939">
      <formula1>'Повседневные'!$I$939:$P$939</formula1>
    </dataValidation>
    <dataValidation type="list" allowBlank="1" sqref="F134">
      <formula1>'Повседневные'!$I$134:$P$134</formula1>
    </dataValidation>
    <dataValidation type="list" allowBlank="1" sqref="F264">
      <formula1>'Повседневные'!$I$264:$P$264</formula1>
    </dataValidation>
    <dataValidation type="list" allowBlank="1" sqref="F285">
      <formula1>'Повседневные'!$I$285:$P$285</formula1>
    </dataValidation>
    <dataValidation type="list" allowBlank="1" sqref="F918">
      <formula1>'Повседневные'!$I$918:$P$918</formula1>
    </dataValidation>
    <dataValidation type="list" allowBlank="1" sqref="F702">
      <formula1>'Повседневные'!$I$702:$P$702</formula1>
    </dataValidation>
    <dataValidation type="list" allowBlank="1" sqref="F853">
      <formula1>'Повседневные'!$I$853:$P$853</formula1>
    </dataValidation>
    <dataValidation type="list" allowBlank="1" sqref="F119">
      <formula1>'Повседневные'!$I$119:$P$119</formula1>
    </dataValidation>
    <dataValidation type="list" allowBlank="1" sqref="F708">
      <formula1>'Повседневные'!$I$708:$P$708</formula1>
    </dataValidation>
    <dataValidation type="list" allowBlank="1" sqref="F184">
      <formula1>'Повседневные'!$I$184:$P$184</formula1>
    </dataValidation>
    <dataValidation type="list" allowBlank="1" sqref="F838">
      <formula1>'Повседневные'!$I$838:$P$838</formula1>
    </dataValidation>
    <dataValidation type="list" allowBlank="1" sqref="F622">
      <formula1>'Повседневные'!$I$622:$P$622</formula1>
    </dataValidation>
    <dataValidation type="list" allowBlank="1" sqref="F752">
      <formula1>'Повседневные'!$I$752:$P$752</formula1>
    </dataValidation>
    <dataValidation type="list" allowBlank="1" sqref="F773">
      <formula1>'Повседневные'!$I$773:$P$773</formula1>
    </dataValidation>
    <dataValidation type="list" allowBlank="1" sqref="F63">
      <formula1>'Повседневные'!$I$63:$P$63</formula1>
    </dataValidation>
    <dataValidation type="list" allowBlank="1" sqref="F87">
      <formula1>'Повседневные'!$I$87:$P$87</formula1>
    </dataValidation>
    <dataValidation type="list" allowBlank="1" sqref="F607">
      <formula1>'Повседневные'!$I$607:$P$607</formula1>
    </dataValidation>
    <dataValidation type="list" allowBlank="1" sqref="F542">
      <formula1>'Повседневные'!$I$542:$P$542</formula1>
    </dataValidation>
    <dataValidation type="list" allowBlank="1" sqref="F672">
      <formula1>'Повседневные'!$I$672:$P$672</formula1>
    </dataValidation>
    <dataValidation type="list" allowBlank="1" sqref="F596">
      <formula1>'Повседневные'!$I$596:$P$596</formula1>
    </dataValidation>
    <dataValidation type="list" allowBlank="1" sqref="F678">
      <formula1>'Повседневные'!$I$678:$P$678</formula1>
    </dataValidation>
    <dataValidation type="list" allowBlank="1" sqref="F311">
      <formula1>'Повседневные'!$I$311:$P$311</formula1>
    </dataValidation>
    <dataValidation type="list" allowBlank="1" sqref="F441">
      <formula1>'Повседневные'!$I$441:$P$441</formula1>
    </dataValidation>
    <dataValidation type="list" allowBlank="1" sqref="F365">
      <formula1>'Повседневные'!$I$365:$P$365</formula1>
    </dataValidation>
    <dataValidation type="list" allowBlank="1" sqref="F495">
      <formula1>'Повседневные'!$I$495:$P$495</formula1>
    </dataValidation>
    <dataValidation type="list" allowBlank="1" sqref="F447">
      <formula1>'Повседневные'!$I$447:$P$447</formula1>
    </dataValidation>
    <dataValidation type="list" allowBlank="1" sqref="F361">
      <formula1>'Повседневные'!$I$361:$P$361</formula1>
    </dataValidation>
    <dataValidation type="list" allowBlank="1" sqref="F188">
      <formula1>'Повседневные'!$I$188:$P$188</formula1>
    </dataValidation>
    <dataValidation type="list" allowBlank="1" sqref="F32">
      <formula1>'Повседневные'!$I$32:$P$32</formula1>
    </dataValidation>
    <dataValidation type="list" allowBlank="1" sqref="F756">
      <formula1>'Повседневные'!$I$756:$P$756</formula1>
    </dataValidation>
    <dataValidation type="list" allowBlank="1" sqref="F20">
      <formula1>'Повседневные'!$I$20:$P$20</formula1>
    </dataValidation>
    <dataValidation type="list" allowBlank="1" sqref="F540">
      <formula1>'Повседневные'!$I$540:$P$540</formula1>
    </dataValidation>
    <dataValidation type="list" allowBlank="1" sqref="F216">
      <formula1>'Повседневные'!$I$216:$P$216</formula1>
    </dataValidation>
    <dataValidation type="list" allowBlank="1" sqref="F497">
      <formula1>'Повседневные'!$I$497:$P$497</formula1>
    </dataValidation>
    <dataValidation type="list" allowBlank="1" sqref="F935">
      <formula1>'Повседневные'!$I$935:$P$935</formula1>
    </dataValidation>
    <dataValidation type="list" allowBlank="1" sqref="F130">
      <formula1>'Повседневные'!$I$130:$P$130</formula1>
    </dataValidation>
    <dataValidation type="list" allowBlank="1" sqref="F281">
      <formula1>'Повседневные'!$I$281:$P$281</formula1>
    </dataValidation>
    <dataValidation type="list" allowBlank="1" sqref="F4">
      <formula1>'Повседневные'!$I$4:$P$4</formula1>
    </dataValidation>
    <dataValidation type="list" allowBlank="1" sqref="F44">
      <formula1>'Повседневные'!$I$44:$P$44</formula1>
    </dataValidation>
    <dataValidation type="list" allowBlank="1" sqref="F56">
      <formula1>'Повседневные'!$I$56:$P$56</formula1>
    </dataValidation>
    <dataValidation type="list" allowBlank="1" sqref="F525">
      <formula1>'Повседневные'!$I$525:$P$525</formula1>
    </dataValidation>
    <dataValidation type="list" allowBlank="1" sqref="F676">
      <formula1>'Повседневные'!$I$676:$P$676</formula1>
    </dataValidation>
    <dataValidation type="list" allowBlank="1" sqref="F590">
      <formula1>'Повседневные'!$I$590:$P$590</formula1>
    </dataValidation>
    <dataValidation type="list" allowBlank="1" sqref="F704">
      <formula1>'Повседневные'!$I$704:$P$704</formula1>
    </dataValidation>
    <dataValidation type="list" allowBlank="1" sqref="F758">
      <formula1>'Повседневные'!$I$758:$P$758</formula1>
    </dataValidation>
    <dataValidation type="list" allowBlank="1" sqref="F49">
      <formula1>'Повседневные'!$I$49:$P$49</formula1>
    </dataValidation>
    <dataValidation type="list" allowBlank="1" sqref="F445">
      <formula1>'Повседневные'!$I$445:$P$445</formula1>
    </dataValidation>
    <dataValidation type="list" allowBlank="1" sqref="F499">
      <formula1>'Повседневные'!$I$499:$P$499</formula1>
    </dataValidation>
    <dataValidation type="list" allowBlank="1" sqref="F37">
      <formula1>'Повседневные'!$I$37:$P$37</formula1>
    </dataValidation>
    <dataValidation type="list" allowBlank="1" sqref="F132">
      <formula1>'Повседневные'!$I$132:$P$132</formula1>
    </dataValidation>
    <dataValidation type="list" allowBlank="1" sqref="F25">
      <formula1>'Повседневные'!$I$25:$P$25</formula1>
    </dataValidation>
    <dataValidation type="list" allowBlank="1" sqref="F186">
      <formula1>'Повседневные'!$I$186:$P$186</formula1>
    </dataValidation>
    <dataValidation type="list" allowBlank="1" sqref="F851">
      <formula1>'Повседневные'!$I$851:$P$851</formula1>
    </dataValidation>
    <dataValidation type="list" allowBlank="1" sqref="F13">
      <formula1>'Повседневные'!$I$13:$P$13</formula1>
    </dataValidation>
    <dataValidation type="list" allowBlank="1" sqref="F527">
      <formula1>'Повседневные'!$I$527:$P$527</formula1>
    </dataValidation>
    <dataValidation type="list" allowBlank="1" sqref="F592">
      <formula1>'Повседневные'!$I$592:$P$592</formula1>
    </dataValidation>
    <dataValidation type="list" allowBlank="1" sqref="F214">
      <formula1>'Повседневные'!$I$214:$P$214</formula1>
    </dataValidation>
    <dataValidation type="list" allowBlank="1" sqref="F268">
      <formula1>'Повседневные'!$I$268:$P$268</formula1>
    </dataValidation>
    <dataValidation type="list" allowBlank="1" sqref="F933">
      <formula1>'Повседневные'!$I$933:$P$933</formula1>
    </dataValidation>
    <dataValidation type="list" allowBlank="1" sqref="F609">
      <formula1>'Повседневные'!$I$609:$P$609</formula1>
    </dataValidation>
    <dataValidation type="list" allowBlank="1" sqref="F620">
      <formula1>'Повседневные'!$I$620:$P$620</formula1>
    </dataValidation>
    <dataValidation type="list" allowBlank="1" sqref="F414">
      <formula1>'Повседневные'!$I$414:$P$414</formula1>
    </dataValidation>
    <dataValidation type="list" allowBlank="1" sqref="F806">
      <formula1>'Повседневные'!$I$806:$P$806</formula1>
    </dataValidation>
    <dataValidation type="list" allowBlank="1" sqref="F282">
      <formula1>'Повседневные'!$I$282:$P$282</formula1>
    </dataValidation>
    <dataValidation type="list" allowBlank="1" sqref="F674">
      <formula1>'Повседневные'!$I$674:$P$674</formula1>
    </dataValidation>
    <dataValidation type="list" allowBlank="1" sqref="F720">
      <formula1>'Повседневные'!$I$720:$P$720</formula1>
    </dataValidation>
    <dataValidation type="list" allowBlank="1" sqref="F34">
      <formula1>'Повседневные'!$I$34:$P$34</formula1>
    </dataValidation>
    <dataValidation type="list" allowBlank="1" sqref="F84">
      <formula1>'Повседневные'!$I$84:$P$84</formula1>
    </dataValidation>
    <dataValidation type="list" allowBlank="1" sqref="F137">
      <formula1>'Повседневные'!$I$137:$P$137</formula1>
    </dataValidation>
    <dataValidation type="list" allowBlank="1" sqref="F529">
      <formula1>'Повседневные'!$I$529:$P$529</formula1>
    </dataValidation>
    <dataValidation type="list" allowBlank="1" sqref="F789">
      <formula1>'Повседневные'!$I$789:$P$789</formula1>
    </dataValidation>
    <dataValidation type="list" allowBlank="1" sqref="F397">
      <formula1>'Повседневные'!$I$397:$P$397</formula1>
    </dataValidation>
    <dataValidation type="list" allowBlank="1" sqref="F835">
      <formula1>'Повседневные'!$I$835:$P$835</formula1>
    </dataValidation>
    <dataValidation type="list" allowBlank="1" sqref="F443">
      <formula1>'Повседневные'!$I$443:$P$443</formula1>
    </dataValidation>
    <dataValidation type="list" allowBlank="1" sqref="F558">
      <formula1>'Повседневные'!$I$558:$P$558</formula1>
    </dataValidation>
    <dataValidation type="list" allowBlank="1" sqref="F166">
      <formula1>'Повседневные'!$I$166:$P$166</formula1>
    </dataValidation>
    <dataValidation type="list" allowBlank="1" sqref="F212">
      <formula1>'Повседневные'!$I$212:$P$212</formula1>
    </dataValidation>
    <dataValidation type="list" allowBlank="1" sqref="F472">
      <formula1>'Повседневные'!$I$472:$P$472</formula1>
    </dataValidation>
    <dataValidation type="list" allowBlank="1" sqref="F604">
      <formula1>'Повседневные'!$I$604:$P$604</formula1>
    </dataValidation>
    <dataValidation type="list" allowBlank="1" sqref="F864">
      <formula1>'Повседневные'!$I$864:$P$864</formula1>
    </dataValidation>
    <dataValidation type="list" allowBlank="1" sqref="F224">
      <formula1>'Повседневные'!$I$224:$P$224</formula1>
    </dataValidation>
    <dataValidation type="list" allowBlank="1" sqref="F484">
      <formula1>'Повседневные'!$I$484:$P$484</formula1>
    </dataValidation>
    <dataValidation type="list" allowBlank="1" sqref="F530">
      <formula1>'Повседневные'!$I$530:$P$530</formula1>
    </dataValidation>
    <dataValidation type="list" allowBlank="1" sqref="F790">
      <formula1>'Повседневные'!$I$790:$P$790</formula1>
    </dataValidation>
    <dataValidation type="list" allowBlank="1" sqref="F719">
      <formula1>'Повседневные'!$I$719:$P$719</formula1>
    </dataValidation>
    <dataValidation type="list" allowBlank="1" sqref="F195">
      <formula1>'Повседневные'!$I$195:$P$195</formula1>
    </dataValidation>
    <dataValidation type="list" allowBlank="1" sqref="F241">
      <formula1>'Повседневные'!$I$241:$P$241</formula1>
    </dataValidation>
    <dataValidation type="list" allowBlank="1" sqref="F27">
      <formula1>'Повседневные'!$I$27:$P$27</formula1>
    </dataValidation>
    <dataValidation type="list" allowBlank="1" sqref="F253">
      <formula1>'Повседневные'!$I$253:$P$253</formula1>
    </dataValidation>
    <dataValidation type="list" allowBlank="1" sqref="F748">
      <formula1>'Повседневные'!$I$748:$P$748</formula1>
    </dataValidation>
    <dataValidation type="list" allowBlank="1" sqref="F270">
      <formula1>'Повседневные'!$I$270:$P$270</formula1>
    </dataValidation>
    <dataValidation type="list" allowBlank="1" sqref="F70">
      <formula1>'Повседневные'!$I$70:$P$70</formula1>
    </dataValidation>
    <dataValidation type="list" allowBlank="1" sqref="F294">
      <formula1>'Повседневные'!$I$294:$P$294</formula1>
    </dataValidation>
    <dataValidation type="list" allowBlank="1" sqref="F426">
      <formula1>'Повседневные'!$I$426:$P$426</formula1>
    </dataValidation>
    <dataValidation type="list" allowBlank="1" sqref="F686">
      <formula1>'Повседневные'!$I$686:$P$686</formula1>
    </dataValidation>
    <dataValidation type="list" allowBlank="1" sqref="F517">
      <formula1>'Повседневные'!$I$517:$P$517</formula1>
    </dataValidation>
    <dataValidation type="list" allowBlank="1" sqref="F909">
      <formula1>'Повседневные'!$I$909:$P$909</formula1>
    </dataValidation>
    <dataValidation type="list" allowBlank="1" sqref="F41">
      <formula1>'Повседневные'!$I$41:$P$41</formula1>
    </dataValidation>
    <dataValidation type="list" allowBlank="1" sqref="F777">
      <formula1>'Повседневные'!$I$777:$P$777</formula1>
    </dataValidation>
    <dataValidation type="list" allowBlank="1" sqref="F431">
      <formula1>'Повседневные'!$I$431:$P$431</formula1>
    </dataValidation>
    <dataValidation type="list" allowBlank="1" sqref="F691">
      <formula1>'Повседневные'!$I$691:$P$691</formula1>
    </dataValidation>
    <dataValidation type="list" allowBlank="1" sqref="F77">
      <formula1>'Повседневные'!$I$77:$P$77</formula1>
    </dataValidation>
    <dataValidation type="list" allowBlank="1" sqref="F455">
      <formula1>'Повседневные'!$I$455:$P$455</formula1>
    </dataValidation>
    <dataValidation type="list" allowBlank="1" sqref="F546">
      <formula1>'Повседневные'!$I$546:$P$546</formula1>
    </dataValidation>
    <dataValidation type="list" allowBlank="1" sqref="F938">
      <formula1>'Повседневные'!$I$938:$P$938</formula1>
    </dataValidation>
    <dataValidation type="list" allowBlank="1" sqref="F200">
      <formula1>'Повседневные'!$I$200:$P$200</formula1>
    </dataValidation>
    <dataValidation type="list" allowBlank="1" sqref="F460">
      <formula1>'Повседневные'!$I$460:$P$460</formula1>
    </dataValidation>
    <dataValidation type="list" allowBlank="1" sqref="F628">
      <formula1>'Повседневные'!$I$628:$P$628</formula1>
    </dataValidation>
    <dataValidation type="list" allowBlank="1" sqref="F922">
      <formula1>'Повседневные'!$I$922:$P$922</formula1>
    </dataValidation>
    <dataValidation type="list" allowBlank="1" sqref="F888">
      <formula1>'Повседневные'!$I$888:$P$888</formula1>
    </dataValidation>
    <dataValidation type="list" allowBlank="1" sqref="F150">
      <formula1>'Повседневные'!$I$150:$P$150</formula1>
    </dataValidation>
    <dataValidation type="list" allowBlank="1" sqref="F315">
      <formula1>'Повседневные'!$I$315:$P$315</formula1>
    </dataValidation>
    <dataValidation type="list" allowBlank="1" sqref="F575">
      <formula1>'Повседневные'!$I$575:$P$575</formula1>
    </dataValidation>
    <dataValidation type="list" allowBlank="1" sqref="F339">
      <formula1>'Повседневные'!$I$339:$P$339</formula1>
    </dataValidation>
    <dataValidation type="list" allowBlank="1" sqref="F633">
      <formula1>'Повседневные'!$I$633:$P$633</formula1>
    </dataValidation>
    <dataValidation type="list" allowBlank="1" sqref="F599">
      <formula1>'Повседневные'!$I$599:$P$599</formula1>
    </dataValidation>
    <dataValidation type="list" allowBlank="1" sqref="F893">
      <formula1>'Повседневные'!$I$893:$P$893</formula1>
    </dataValidation>
    <dataValidation type="list" allowBlank="1" sqref="F657">
      <formula1>'Повседневные'!$I$657:$P$657</formula1>
    </dataValidation>
    <dataValidation type="list" allowBlank="1" sqref="F344">
      <formula1>'Повседневные'!$I$344:$P$344</formula1>
    </dataValidation>
    <dataValidation type="list" allowBlank="1" sqref="F108">
      <formula1>'Повседневные'!$I$108:$P$108</formula1>
    </dataValidation>
    <dataValidation type="list" allowBlank="1" sqref="F402">
      <formula1>'Повседневные'!$I$402:$P$402</formula1>
    </dataValidation>
    <dataValidation type="list" allowBlank="1" sqref="F368">
      <formula1>'Повседневные'!$I$368:$P$368</formula1>
    </dataValidation>
    <dataValidation type="list" allowBlank="1" sqref="F662">
      <formula1>'Повседневные'!$I$662:$P$662</formula1>
    </dataValidation>
    <dataValidation type="list" allowBlank="1" sqref="F459">
      <formula1>'Повседневные'!$I$459:$P$459</formula1>
    </dataValidation>
    <dataValidation type="list" allowBlank="1" sqref="F698">
      <formula1>'Повседневные'!$I$698:$P$698</formula1>
    </dataValidation>
    <dataValidation type="list" allowBlank="1" sqref="F113">
      <formula1>'Повседневные'!$I$113:$P$113</formula1>
    </dataValidation>
    <dataValidation type="list" allowBlank="1" sqref="F505">
      <formula1>'Повседневные'!$I$505:$P$505</formula1>
    </dataValidation>
    <dataValidation type="list" allowBlank="1" sqref="F744">
      <formula1>'Повседневные'!$I$744:$P$744</formula1>
    </dataValidation>
    <dataValidation type="list" allowBlank="1" sqref="F811">
      <formula1>'Повседневные'!$I$811:$P$811</formula1>
    </dataValidation>
    <dataValidation type="list" allowBlank="1" sqref="F228">
      <formula1>'Повседневные'!$I$228:$P$228</formula1>
    </dataValidation>
    <dataValidation type="list" allowBlank="1" sqref="F467">
      <formula1>'Повседневные'!$I$467:$P$467</formula1>
    </dataValidation>
    <dataValidation type="list" allowBlank="1" sqref="F859">
      <formula1>'Повседневные'!$I$859:$P$859</formula1>
    </dataValidation>
    <dataValidation type="list" allowBlank="1" sqref="F513">
      <formula1>'Повседневные'!$I$513:$P$513</formula1>
    </dataValidation>
    <dataValidation type="list" allowBlank="1" sqref="F794">
      <formula1>'Повседневные'!$I$794:$P$794</formula1>
    </dataValidation>
    <dataValidation type="list" allowBlank="1" sqref="F905">
      <formula1>'Повседневные'!$I$905:$P$905</formula1>
    </dataValidation>
    <dataValidation type="list" allowBlank="1" sqref="F381">
      <formula1>'Повседневные'!$I$381:$P$381</formula1>
    </dataValidation>
    <dataValidation type="list" allowBlank="1" sqref="F236">
      <formula1>'Повседневные'!$I$236:$P$236</formula1>
    </dataValidation>
    <dataValidation type="list" allowBlank="1" sqref="F649">
      <formula1>'Повседневные'!$I$649:$P$649</formula1>
    </dataValidation>
    <dataValidation type="list" allowBlank="1" sqref="F171">
      <formula1>'Повседневные'!$I$171:$P$171</formula1>
    </dataValidation>
    <dataValidation type="list" allowBlank="1" sqref="F248">
      <formula1>'Повседневные'!$I$248:$P$248</formula1>
    </dataValidation>
    <dataValidation type="list" allowBlank="1" sqref="F554">
      <formula1>'Повседневные'!$I$554:$P$554</formula1>
    </dataValidation>
    <dataValidation type="list" allowBlank="1" sqref="F600">
      <formula1>'Повседневные'!$I$600:$P$600</formula1>
    </dataValidation>
    <dataValidation type="list" allowBlank="1" sqref="F12">
      <formula1>'Повседневные'!$I$12:$P$12</formula1>
    </dataValidation>
    <dataValidation type="list" allowBlank="1" sqref="F62">
      <formula1>'Повседневные'!$I$62:$P$62</formula1>
    </dataValidation>
    <dataValidation type="list" allowBlank="1" sqref="F418">
      <formula1>'Повседневные'!$I$418:$P$418</formula1>
    </dataValidation>
    <dataValidation type="list" allowBlank="1" sqref="F724">
      <formula1>'Повседневные'!$I$724:$P$724</formula1>
    </dataValidation>
    <dataValidation type="list" allowBlank="1" sqref="F571">
      <formula1>'Повседневные'!$I$571:$P$571</formula1>
    </dataValidation>
    <dataValidation type="list" allowBlank="1" sqref="F736">
      <formula1>'Повседневные'!$I$736:$P$736</formula1>
    </dataValidation>
    <dataValidation type="list" allowBlank="1" sqref="F323">
      <formula1>'Повседневные'!$I$323:$P$323</formula1>
    </dataValidation>
    <dataValidation type="list" allowBlank="1" sqref="F48">
      <formula1>'Повседневные'!$I$48:$P$48</formula1>
    </dataValidation>
    <dataValidation type="list" allowBlank="1" sqref="F19">
      <formula1>'Повседневные'!$I$19:$P$19</formula1>
    </dataValidation>
    <dataValidation type="list" allowBlank="1" sqref="F818">
      <formula1>'Повседневные'!$I$818:$P$818</formula1>
    </dataValidation>
    <dataValidation type="list" allowBlank="1" sqref="F101">
      <formula1>'Повседневные'!$I$101:$P$101</formula1>
    </dataValidation>
    <dataValidation type="list" allowBlank="1" sqref="F732">
      <formula1>'Повседневные'!$I$732:$P$732</formula1>
    </dataValidation>
    <dataValidation type="list" allowBlank="1" sqref="F340">
      <formula1>'Повседневные'!$I$340:$P$340</formula1>
    </dataValidation>
    <dataValidation type="list" allowBlank="1" sqref="F104">
      <formula1>'Повседневные'!$I$104:$P$104</formula1>
    </dataValidation>
    <dataValidation type="list" allowBlank="1" sqref="F385">
      <formula1>'Повседневные'!$I$385:$P$385</formula1>
    </dataValidation>
    <dataValidation type="list" allowBlank="1" sqref="F823">
      <formula1>'Повседневные'!$I$823:$P$823</formula1>
    </dataValidation>
    <dataValidation type="list" allowBlank="1" sqref="F98">
      <formula1>'Повседневные'!$I$98:$P$98</formula1>
    </dataValidation>
    <dataValidation type="list" allowBlank="1" sqref="F149">
      <formula1>'Повседневные'!$I$149:$P$149</formula1>
    </dataValidation>
    <dataValidation type="list" allowBlank="1" sqref="F476">
      <formula1>'Повседневные'!$I$476:$P$476</formula1>
    </dataValidation>
    <dataValidation type="list" allowBlank="1" sqref="F868">
      <formula1>'Повседневные'!$I$868:$P$868</formula1>
    </dataValidation>
    <dataValidation type="list" allowBlank="1" sqref="F390">
      <formula1>'Повседневные'!$I$390:$P$390</formula1>
    </dataValidation>
    <dataValidation type="list" allowBlank="1" sqref="F501">
      <formula1>'Повседневные'!$I$501:$P$501</formula1>
    </dataValidation>
    <dataValidation type="list" allowBlank="1" sqref="F91">
      <formula1>'Повседневные'!$I$91:$P$91</formula1>
    </dataValidation>
    <dataValidation type="list" allowBlank="1" sqref="F154">
      <formula1>'Повседневные'!$I$154:$P$154</formula1>
    </dataValidation>
    <dataValidation type="list" allowBlank="1" sqref="F393">
      <formula1>'Повседневные'!$I$393:$P$393</formula1>
    </dataValidation>
    <dataValidation type="list" allowBlank="1" sqref="F785">
      <formula1>'Повседневные'!$I$785:$P$785</formula1>
    </dataValidation>
    <dataValidation type="list" allowBlank="1" sqref="F245">
      <formula1>'Повседневные'!$I$245:$P$245</formula1>
    </dataValidation>
    <dataValidation type="list" allowBlank="1" sqref="F910">
      <formula1>'Повседневные'!$I$910:$P$910</formula1>
    </dataValidation>
    <dataValidation type="list" allowBlank="1" sqref="F876">
      <formula1>'Повседневные'!$I$876:$P$876</formula1>
    </dataValidation>
    <dataValidation type="list" allowBlank="1" sqref="F563">
      <formula1>'Повседневные'!$I$563:$P$563</formula1>
    </dataValidation>
    <dataValidation type="list" allowBlank="1" sqref="F162">
      <formula1>'Повседневные'!$I$162:$P$162</formula1>
    </dataValidation>
    <dataValidation type="list" allowBlank="1" sqref="F327">
      <formula1>'Повседневные'!$I$327:$P$327</formula1>
    </dataValidation>
    <dataValidation type="list" allowBlank="1" sqref="F881">
      <formula1>'Повседневные'!$I$881:$P$881</formula1>
    </dataValidation>
    <dataValidation type="list" allowBlank="1" sqref="F480">
      <formula1>'Повседневные'!$I$480:$P$480</formula1>
    </dataValidation>
    <dataValidation type="list" allowBlank="1" sqref="F645">
      <formula1>'Повседневные'!$I$645:$P$645</formula1>
    </dataValidation>
    <dataValidation type="list" allowBlank="1" sqref="F298">
      <formula1>'Повседневные'!$I$298:$P$298</formula1>
    </dataValidation>
    <dataValidation type="list" allowBlank="1" sqref="F332">
      <formula1>'Повседневные'!$I$332:$P$332</formula1>
    </dataValidation>
    <dataValidation type="list" allowBlank="1" sqref="F409">
      <formula1>'Повседневные'!$I$409:$P$409</formula1>
    </dataValidation>
    <dataValidation type="list" allowBlank="1" sqref="F650">
      <formula1>'Повседневные'!$I$650:$P$650</formula1>
    </dataValidation>
    <dataValidation type="list" allowBlank="1" sqref="F727">
      <formula1>'Повседневные'!$I$727:$P$727</formula1>
    </dataValidation>
    <dataValidation type="list" allowBlank="1" sqref="F55">
      <formula1>'Повседневные'!$I$55:$P$55</formula1>
    </dataValidation>
    <dataValidation type="list" allowBlank="1" sqref="F435">
      <formula1>'Повседневные'!$I$435:$P$435</formula1>
    </dataValidation>
    <dataValidation type="list" allowBlank="1" sqref="F741">
      <formula1>'Повседневные'!$I$741:$P$741</formula1>
    </dataValidation>
    <dataValidation type="list" allowBlank="1" sqref="F158">
      <formula1>'Повседневные'!$I$158:$P$158</formula1>
    </dataValidation>
    <dataValidation type="list" allowBlank="1" sqref="F376">
      <formula1>'Повседневные'!$I$376:$P$376</formula1>
    </dataValidation>
    <dataValidation type="list" allowBlank="1" sqref="F768">
      <formula1>'Повседневные'!$I$768:$P$768</formula1>
    </dataValidation>
    <dataValidation type="list" allowBlank="1" sqref="F204">
      <formula1>'Повседневные'!$I$204:$P$204</formula1>
    </dataValidation>
    <dataValidation type="list" allowBlank="1" sqref="F814">
      <formula1>'Повседневные'!$I$814:$P$814</formula1>
    </dataValidation>
    <dataValidation type="list" allowBlank="1" sqref="F290">
      <formula1>'Повседневные'!$I$290:$P$290</formula1>
    </dataValidation>
    <dataValidation type="list" allowBlank="1" sqref="F510">
      <formula1>'Повседневные'!$I$510:$P$510</formula1>
    </dataValidation>
    <dataValidation type="list" allowBlank="1" sqref="F682">
      <formula1>'Повседневные'!$I$682:$P$682</formula1>
    </dataValidation>
    <dataValidation type="list" allowBlank="1" sqref="F42">
      <formula1>'Повседневные'!$I$42:$P$42</formula1>
    </dataValidation>
    <dataValidation type="list" allowBlank="1" sqref="F145">
      <formula1>'Повседневные'!$I$145:$P$145</formula1>
    </dataValidation>
    <dataValidation type="list" allowBlank="1" sqref="F537">
      <formula1>'Повседневные'!$I$537:$P$537</formula1>
    </dataValidation>
    <dataValidation type="list" allowBlank="1" sqref="F797">
      <formula1>'Повседневные'!$I$797:$P$797</formula1>
    </dataValidation>
    <dataValidation type="list" allowBlank="1" sqref="F929">
      <formula1>'Повседневные'!$I$929:$P$929</formula1>
    </dataValidation>
    <dataValidation type="list" allowBlank="1" sqref="F35">
      <formula1>'Повседневные'!$I$35:$P$35</formula1>
    </dataValidation>
    <dataValidation type="list" allowBlank="1" sqref="F843">
      <formula1>'Повседневные'!$I$843:$P$843</formula1>
    </dataValidation>
    <dataValidation type="list" allowBlank="1" sqref="F637">
      <formula1>'Повседневные'!$I$637:$P$637</formula1>
    </dataValidation>
    <dataValidation type="list" allowBlank="1" sqref="F897">
      <formula1>'Повседневные'!$I$897:$P$897</formula1>
    </dataValidation>
    <dataValidation type="list" allowBlank="1" sqref="F943">
      <formula1>'Повседневные'!$I$943:$P$943</formula1>
    </dataValidation>
    <dataValidation type="list" allowBlank="1" sqref="F306">
      <formula1>'Повседневные'!$I$306:$P$306</formula1>
    </dataValidation>
    <dataValidation type="list" allowBlank="1" sqref="F566">
      <formula1>'Повседневные'!$I$566:$P$566</formula1>
    </dataValidation>
    <dataValidation type="list" allowBlank="1" sqref="F612">
      <formula1>'Повседневные'!$I$612:$P$612</formula1>
    </dataValidation>
    <dataValidation type="list" allowBlank="1" sqref="F406">
      <formula1>'Повседневные'!$I$406:$P$406</formula1>
    </dataValidation>
    <dataValidation type="list" allowBlank="1" sqref="F666">
      <formula1>'Повседневные'!$I$666:$P$666</formula1>
    </dataValidation>
    <dataValidation type="list" allowBlank="1" sqref="F712">
      <formula1>'Повседневные'!$I$712:$P$712</formula1>
    </dataValidation>
    <dataValidation type="list" allowBlank="1" sqref="F92">
      <formula1>'Повседневные'!$I$92:$P$92</formula1>
    </dataValidation>
    <dataValidation type="list" allowBlank="1" sqref="F377">
      <formula1>'Повседневные'!$I$377:$P$377</formula1>
    </dataValidation>
    <dataValidation type="list" allowBlank="1" sqref="F335">
      <formula1>'Повседневные'!$I$335:$P$335</formula1>
    </dataValidation>
    <dataValidation type="list" allowBlank="1" sqref="F129">
      <formula1>'Повседневные'!$I$129:$P$129</formula1>
    </dataValidation>
    <dataValidation type="list" allowBlank="1" sqref="F389">
      <formula1>'Повседневные'!$I$389:$P$389</formula1>
    </dataValidation>
    <dataValidation type="list" allowBlank="1" sqref="F683">
      <formula1>'Повседневные'!$I$683:$P$683</formula1>
    </dataValidation>
    <dataValidation type="list" allowBlank="1" sqref="F405">
      <formula1>'Повседневные'!$I$405:$P$405</formula1>
    </dataValidation>
    <dataValidation type="list" allowBlank="1" sqref="F665">
      <formula1>'Повседневные'!$I$665:$P$665</formula1>
    </dataValidation>
    <dataValidation type="list" allowBlank="1" sqref="F146">
      <formula1>'Повседневные'!$I$146:$P$146</formula1>
    </dataValidation>
    <dataValidation type="list" allowBlank="1" sqref="F538">
      <formula1>'Повседневные'!$I$538:$P$538</formula1>
    </dataValidation>
    <dataValidation type="list" allowBlank="1" sqref="F798">
      <formula1>'Повседневные'!$I$798:$P$798</formula1>
    </dataValidation>
    <dataValidation type="list" allowBlank="1" sqref="F28">
      <formula1>'Повседневные'!$I$28:$P$28</formula1>
    </dataValidation>
    <dataValidation type="list" allowBlank="1" sqref="F434">
      <formula1>'Повседневные'!$I$434:$P$434</formula1>
    </dataValidation>
    <dataValidation type="list" allowBlank="1" sqref="F826">
      <formula1>'Повседневные'!$I$826:$P$826</formula1>
    </dataValidation>
    <dataValidation type="list" allowBlank="1" sqref="F782">
      <formula1>'Повседневные'!$I$782:$P$782</formula1>
    </dataValidation>
    <dataValidation type="list" allowBlank="1" sqref="F175">
      <formula1>'Повседневные'!$I$175:$P$175</formula1>
    </dataValidation>
    <dataValidation type="list" allowBlank="1" sqref="F307">
      <formula1>'Повседневные'!$I$307:$P$307</formula1>
    </dataValidation>
    <dataValidation type="list" allowBlank="1" sqref="F567">
      <formula1>'Повседневные'!$I$567:$P$567</formula1>
    </dataValidation>
    <dataValidation type="list" allowBlank="1" sqref="F199">
      <formula1>'Повседневные'!$I$199:$P$199</formula1>
    </dataValidation>
    <dataValidation type="list" allowBlank="1" sqref="F203">
      <formula1>'Повседневные'!$I$203:$P$203</formula1>
    </dataValidation>
    <dataValidation type="list" allowBlank="1" sqref="F257">
      <formula1>'Повседневные'!$I$257:$P$257</formula1>
    </dataValidation>
    <dataValidation type="list" allowBlank="1" sqref="F551">
      <formula1>'Повседневные'!$I$551:$P$551</formula1>
    </dataValidation>
    <dataValidation type="list" allowBlank="1" sqref="F781">
      <formula1>'Повседневные'!$I$781:$P$781</formula1>
    </dataValidation>
    <dataValidation type="list" allowBlank="1" sqref="F946">
      <formula1>'Повседневные'!$I$946:$P$946</formula1>
    </dataValidation>
    <dataValidation type="list" allowBlank="1" sqref="F174">
      <formula1>'Повседневные'!$I$174:$P$174</formula1>
    </dataValidation>
    <dataValidation type="list" allowBlank="1" sqref="F198">
      <formula1>'Повседневные'!$I$198:$P$198</formula1>
    </dataValidation>
    <dataValidation type="list" allowBlank="1" sqref="F320">
      <formula1>'Повседневные'!$I$320:$P$320</formula1>
    </dataValidation>
    <dataValidation type="list" allowBlank="1" sqref="F580">
      <formula1>'Повседневные'!$I$580:$P$580</formula1>
    </dataValidation>
    <dataValidation type="list" allowBlank="1" sqref="F550">
      <formula1>'Повседневные'!$I$550:$P$550</formula1>
    </dataValidation>
    <dataValidation type="list" allowBlank="1" sqref="F715">
      <formula1>'Повседневные'!$I$715:$P$715</formula1>
    </dataValidation>
    <dataValidation type="list" allowBlank="1" sqref="F769">
      <formula1>'Повседневные'!$I$769:$P$769</formula1>
    </dataValidation>
    <dataValidation type="list" allowBlank="1" sqref="F291">
      <formula1>'Повседневные'!$I$291:$P$291</formula1>
    </dataValidation>
    <dataValidation type="list" allowBlank="1" sqref="F827">
      <formula1>'Повседневные'!$I$827:$P$827</formula1>
    </dataValidation>
    <dataValidation type="list" allowBlank="1" sqref="F438">
      <formula1>'Повседневные'!$I$438:$P$438</formula1>
    </dataValidation>
    <dataValidation type="list" allowBlank="1" sqref="F352">
      <formula1>'Повседневные'!$I$352:$P$352</formula1>
    </dataValidation>
    <dataValidation type="list" allowBlank="1" sqref="F373">
      <formula1>'Повседневные'!$I$373:$P$373</formula1>
    </dataValidation>
    <dataValidation type="list" allowBlank="1" sqref="F765">
      <formula1>'Повседневные'!$I$765:$P$765</formula1>
    </dataValidation>
    <dataValidation type="list" allowBlank="1" sqref="F207">
      <formula1>'Повседневные'!$I$207:$P$207</formula1>
    </dataValidation>
    <dataValidation type="list" allowBlank="1" sqref="F488">
      <formula1>'Повседневные'!$I$488:$P$488</formula1>
    </dataValidation>
    <dataValidation type="list" allowBlank="1" sqref="F121">
      <formula1>'Повседневные'!$I$121:$P$121</formula1>
    </dataValidation>
    <dataValidation type="list" allowBlank="1" sqref="F142">
      <formula1>'Повседневные'!$I$142:$P$142</formula1>
    </dataValidation>
    <dataValidation type="list" allowBlank="1" sqref="F534">
      <formula1>'Повседневные'!$I$534:$P$534</formula1>
    </dataValidation>
    <dataValidation type="list" allowBlank="1" sqref="F926">
      <formula1>'Повседневные'!$I$926:$P$926</formula1>
    </dataValidation>
    <dataValidation type="list" allowBlank="1" sqref="F47">
      <formula1>'Повседневные'!$I$47:$P$47</formula1>
    </dataValidation>
    <dataValidation type="list" allowBlank="1" sqref="F840">
      <formula1>'Повседневные'!$I$840:$P$840</formula1>
    </dataValidation>
    <dataValidation type="list" allowBlank="1" sqref="F861">
      <formula1>'Повседневные'!$I$861:$P$861</formula1>
    </dataValidation>
    <dataValidation type="list" allowBlank="1" sqref="F278">
      <formula1>'Повседневные'!$I$278:$P$278</formula1>
    </dataValidation>
    <dataValidation type="list" allowBlank="1" sqref="F584">
      <formula1>'Повседневные'!$I$584:$P$584</formula1>
    </dataValidation>
    <dataValidation type="list" allowBlank="1" sqref="F54">
      <formula1>'Повседневные'!$I$54:$P$54</formula1>
    </dataValidation>
    <dataValidation type="list" allowBlank="1" sqref="F619">
      <formula1>'Повседневные'!$I$619:$P$619</formula1>
    </dataValidation>
    <dataValidation type="list" allowBlank="1" sqref="F630">
      <formula1>'Повседневные'!$I$630:$P$630</formula1>
    </dataValidation>
    <dataValidation type="list" allowBlank="1" sqref="F141">
      <formula1>'Повседневные'!$I$141:$P$141</formula1>
    </dataValidation>
    <dataValidation type="list" allowBlank="1" sqref="F925">
      <formula1>'Повседневные'!$I$925:$P$925</formula1>
    </dataValidation>
    <dataValidation type="list" allowBlank="1" sqref="F860">
      <formula1>'Повседневные'!$I$860:$P$860</formula1>
    </dataValidation>
    <dataValidation type="list" allowBlank="1" sqref="F78">
      <formula1>'Повседневные'!$I$78:$P$78</formula1>
    </dataValidation>
    <dataValidation type="list" allowBlank="1" sqref="F353">
      <formula1>'Повседневные'!$I$353:$P$353</formula1>
    </dataValidation>
    <dataValidation type="list" allowBlank="1" sqref="F896">
      <formula1>'Повседневные'!$I$896:$P$896</formula1>
    </dataValidation>
    <dataValidation type="list" allowBlank="1" sqref="F277">
      <formula1>'Повседневные'!$I$277:$P$277</formula1>
    </dataValidation>
    <dataValidation type="list" allowBlank="1" sqref="F942">
      <formula1>'Повседневные'!$I$942:$P$942</formula1>
    </dataValidation>
    <dataValidation type="list" allowBlank="1" sqref="F583">
      <formula1>'Повседневные'!$I$583:$P$583</formula1>
    </dataValidation>
    <dataValidation type="list" allowBlank="1" sqref="F208">
      <formula1>'Повседневные'!$I$208:$P$208</formula1>
    </dataValidation>
    <dataValidation type="list" allowBlank="1" sqref="F359">
      <formula1>'Повседневные'!$I$359:$P$359</formula1>
    </dataValidation>
    <dataValidation type="list" allowBlank="1" sqref="F273">
      <formula1>'Повседневные'!$I$273:$P$273</formula1>
    </dataValidation>
    <dataValidation type="list" allowBlank="1" sqref="F711">
      <formula1>'Повседневные'!$I$711:$P$711</formula1>
    </dataValidation>
    <dataValidation type="list" allowBlank="1" sqref="F125">
      <formula1>'Повседневные'!$I$125:$P$125</formula1>
    </dataValidation>
    <dataValidation type="list" allowBlank="1" sqref="F452">
      <formula1>'Повседневные'!$I$452:$P$452</formula1>
    </dataValidation>
    <dataValidation type="list" allowBlank="1" sqref="F844">
      <formula1>'Повседневные'!$I$844:$P$844</formula1>
    </dataValidation>
    <dataValidation type="list" allowBlank="1" sqref="F128">
      <formula1>'Повседневные'!$I$128:$P$128</formula1>
    </dataValidation>
    <dataValidation type="list" allowBlank="1" sqref="F61">
      <formula1>'Повседневные'!$I$61:$P$61</formula1>
    </dataValidation>
    <dataValidation type="list" allowBlank="1" sqref="F847">
      <formula1>'Повседневные'!$I$847:$P$847</formula1>
    </dataValidation>
    <dataValidation type="list" allowBlank="1" sqref="F761">
      <formula1>'Повседневные'!$I$761:$P$761</formula1>
    </dataValidation>
    <dataValidation type="list" allowBlank="1" sqref="F221">
      <formula1>'Повседневные'!$I$221:$P$221</formula1>
    </dataValidation>
    <dataValidation type="list" allowBlank="1" sqref="F613">
      <formula1>'Повседневные'!$I$613:$P$613</formula1>
    </dataValidation>
    <dataValidation type="list" allowBlank="1" sqref="F764">
      <formula1>'Повседневные'!$I$764:$P$764</formula1>
    </dataValidation>
    <dataValidation type="list" allowBlank="1" sqref="F178">
      <formula1>'Повседневные'!$I$178:$P$178</formula1>
    </dataValidation>
    <dataValidation type="list" allowBlank="1" sqref="F85">
      <formula1>'Повседневные'!$I$85:$P$85</formula1>
    </dataValidation>
    <dataValidation type="list" allowBlank="1" sqref="F451">
      <formula1>'Повседневные'!$I$451:$P$451</formula1>
    </dataValidation>
    <dataValidation type="list" allowBlank="1" sqref="F616">
      <formula1>'Повседневные'!$I$616:$P$616</formula1>
    </dataValidation>
    <dataValidation type="list" allowBlank="1" sqref="F192">
      <formula1>'Повседневные'!$I$192:$P$192</formula1>
    </dataValidation>
    <dataValidation type="list" allowBlank="1" sqref="F303">
      <formula1>'Повседневные'!$I$303:$P$303</formula1>
    </dataValidation>
    <dataValidation type="list" allowBlank="1" sqref="F97">
      <formula1>'Повседневные'!$I$97:$P$97</formula1>
    </dataValidation>
    <dataValidation type="list" allowBlank="1" sqref="F533">
      <formula1>'Повседневные'!$I$533:$P$533</formula1>
    </dataValidation>
    <dataValidation type="list" allowBlank="1" sqref="F587">
      <formula1>'Повседневные'!$I$587:$P$587</formula1>
    </dataValidation>
    <dataValidation type="list" allowBlank="1" sqref="F220">
      <formula1>'Повседневные'!$I$220:$P$220</formula1>
    </dataValidation>
    <dataValidation type="list" allowBlank="1" sqref="F274">
      <formula1>'Повседневные'!$I$274:$P$274</formula1>
    </dataValidation>
    <dataValidation type="list" allowBlank="1" sqref="F439">
      <formula1>'Повседневные'!$I$439:$P$439</formula1>
    </dataValidation>
    <dataValidation type="list" allowBlank="1" sqref="F669">
      <formula1>'Повседневные'!$I$669:$P$669</formula1>
    </dataValidation>
    <dataValidation type="list" allowBlank="1" sqref="F191">
      <formula1>'Повседневные'!$I$191:$P$191</formula1>
    </dataValidation>
    <dataValidation type="list" allowBlank="1" sqref="F302">
      <formula1>'Повседневные'!$I$302:$P$302</formula1>
    </dataValidation>
    <dataValidation type="list" allowBlank="1" sqref="F356">
      <formula1>'Повседневные'!$I$356:$P$356</formula1>
    </dataValidation>
    <dataValidation type="list" allowBlank="1" sqref="F110">
      <formula1>'Повседневные'!$I$110:$P$110</formula1>
    </dataValidation>
    <dataValidation type="list" allowBlank="1" sqref="F240">
      <formula1>'Повседневные'!$I$240:$P$240</formula1>
    </dataValidation>
    <dataValidation type="list" allowBlank="1" sqref="F370">
      <formula1>'Повседневные'!$I$370:$P$370</formula1>
    </dataValidation>
    <dataValidation type="list" allowBlank="1" sqref="F762">
      <formula1>'Повседневные'!$I$762:$P$762</formula1>
    </dataValidation>
    <dataValidation type="list" allowBlank="1" sqref="F892">
      <formula1>'Повседневные'!$I$892:$P$892</formula1>
    </dataValidation>
    <dataValidation type="list" allowBlank="1" sqref="F179">
      <formula1>'Повседневные'!$I$179:$P$179</formula1>
    </dataValidation>
    <dataValidation type="list" allowBlank="1" sqref="F93">
      <formula1>'Повседневные'!$I$93:$P$93</formula1>
    </dataValidation>
    <dataValidation type="list" allowBlank="1" sqref="F225">
      <formula1>'Повседневные'!$I$225:$P$225</formula1>
    </dataValidation>
    <dataValidation type="list" allowBlank="1" sqref="F747">
      <formula1>'Повседневные'!$I$747:$P$747</formula1>
    </dataValidation>
    <dataValidation type="list" allowBlank="1" sqref="F877">
      <formula1>'Повседневные'!$I$877:$P$877</formula1>
    </dataValidation>
    <dataValidation type="list" allowBlank="1" sqref="F531">
      <formula1>'Повседневные'!$I$531:$P$531</formula1>
    </dataValidation>
    <dataValidation type="list" allowBlank="1" sqref="F661">
      <formula1>'Повседневные'!$I$661:$P$661</formula1>
    </dataValidation>
    <dataValidation type="list" allowBlank="1" sqref="F791">
      <formula1>'Повседневные'!$I$791:$P$791</formula1>
    </dataValidation>
    <dataValidation type="list" allowBlank="1" sqref="F516">
      <formula1>'Повседневные'!$I$516:$P$516</formula1>
    </dataValidation>
    <dataValidation type="list" allowBlank="1" sqref="F646">
      <formula1>'Повседневные'!$I$646:$P$646</formula1>
    </dataValidation>
    <dataValidation type="list" allowBlank="1" sqref="F776">
      <formula1>'Повседневные'!$I$776:$P$776</formula1>
    </dataValidation>
    <dataValidation type="list" allowBlank="1" sqref="F300">
      <formula1>'Повседневные'!$I$300:$P$300</formula1>
    </dataValidation>
    <dataValidation type="list" allowBlank="1" sqref="F430">
      <formula1>'Повседневные'!$I$430:$P$430</formula1>
    </dataValidation>
    <dataValidation type="list" allowBlank="1" sqref="F560">
      <formula1>'Повседневные'!$I$560:$P$560</formula1>
    </dataValidation>
    <dataValidation type="list" allowBlank="1" sqref="F690">
      <formula1>'Повседневные'!$I$690:$P$690</formula1>
    </dataValidation>
    <dataValidation type="list" allowBlank="1" sqref="F312">
      <formula1>'Повседневные'!$I$312:$P$312</formula1>
    </dataValidation>
    <dataValidation type="list" allowBlank="1" sqref="F442">
      <formula1>'Повседневные'!$I$442:$P$442</formula1>
    </dataValidation>
    <dataValidation type="list" allowBlank="1" sqref="F572">
      <formula1>'Повседневные'!$I$572:$P$572</formula1>
    </dataValidation>
    <dataValidation type="list" allowBlank="1" sqref="F211">
      <formula1>'Повседневные'!$I$211:$P$211</formula1>
    </dataValidation>
    <dataValidation type="list" allowBlank="1" sqref="F341">
      <formula1>'Повседневные'!$I$341:$P$341</formula1>
    </dataValidation>
    <dataValidation type="list" allowBlank="1" sqref="F471">
      <formula1>'Повседневные'!$I$471:$P$471</formula1>
    </dataValidation>
    <dataValidation type="list" allowBlank="1" sqref="F50">
      <formula1>'Повседневные'!$I$50:$P$50</formula1>
    </dataValidation>
    <dataValidation type="list" allowBlank="1" sqref="F514">
      <formula1>'Повседневные'!$I$514:$P$514</formula1>
    </dataValidation>
    <dataValidation type="list" allowBlank="1" sqref="F774">
      <formula1>'Повседневные'!$I$774:$P$774</formula1>
    </dataValidation>
    <dataValidation type="list" allowBlank="1" sqref="F429">
      <formula1>'Повседневные'!$I$429:$P$429</formula1>
    </dataValidation>
    <dataValidation type="list" allowBlank="1" sqref="F689">
      <formula1>'Повседневные'!$I$689:$P$689</formula1>
    </dataValidation>
    <dataValidation type="list" allowBlank="1" sqref="F57">
      <formula1>'Повседневные'!$I$57:$P$57</formula1>
    </dataValidation>
    <dataValidation type="list" allowBlank="1" sqref="F343">
      <formula1>'Повседневные'!$I$343:$P$343</formula1>
    </dataValidation>
    <dataValidation type="list" allowBlank="1" sqref="F629">
      <formula1>'Повседневные'!$I$629:$P$629</formula1>
    </dataValidation>
    <dataValidation type="list" allowBlank="1" sqref="F889">
      <formula1>'Повседневные'!$I$889:$P$889</formula1>
    </dataValidation>
    <dataValidation type="list" allowBlank="1" sqref="F543">
      <formula1>'Повседневные'!$I$543:$P$543</formula1>
    </dataValidation>
    <dataValidation type="list" allowBlank="1" sqref="F458">
      <formula1>'Повседневные'!$I$458:$P$458</formula1>
    </dataValidation>
    <dataValidation type="list" allowBlank="1" sqref="F112">
      <formula1>'Повседневные'!$I$112:$P$112</formula1>
    </dataValidation>
    <dataValidation type="list" allowBlank="1" sqref="F372">
      <formula1>'Повседневные'!$I$372:$P$372</formula1>
    </dataValidation>
    <dataValidation type="list" allowBlank="1" sqref="F894">
      <formula1>'Повседневные'!$I$894:$P$894</formula1>
    </dataValidation>
    <dataValidation type="list" allowBlank="1" sqref="F810">
      <formula1>'Повседневные'!$I$810:$P$810</formula1>
    </dataValidation>
    <dataValidation type="list" allowBlank="1" sqref="F658">
      <formula1>'Повседневные'!$I$658:$P$658</formula1>
    </dataValidation>
    <dataValidation type="list" allowBlank="1" sqref="F227">
      <formula1>'Повседневные'!$I$227:$P$227</formula1>
    </dataValidation>
    <dataValidation type="list" allowBlank="1" sqref="F663">
      <formula1>'Повседневные'!$I$663:$P$663</formula1>
    </dataValidation>
    <dataValidation type="list" allowBlank="1" sqref="F545">
      <formula1>'Повседневные'!$I$545:$P$545</formula1>
    </dataValidation>
    <dataValidation type="list" allowBlank="1" sqref="F427">
      <formula1>'Повседневные'!$I$427:$P$427</formula1>
    </dataValidation>
    <dataValidation type="list" allowBlank="1" sqref="F687">
      <formula1>'Повседневные'!$I$687:$P$687</formula1>
    </dataValidation>
    <dataValidation type="list" allowBlank="1" sqref="F309">
      <formula1>'Повседневные'!$I$309:$P$309</formula1>
    </dataValidation>
    <dataValidation type="list" allowBlank="1" sqref="F745">
      <formula1>'Повседневные'!$I$745:$P$745</formula1>
    </dataValidation>
    <dataValidation type="list" allowBlank="1" sqref="F64">
      <formula1>'Повседневные'!$I$64:$P$64</formula1>
    </dataValidation>
    <dataValidation type="list" allowBlank="1" sqref="F432">
      <formula1>'Повседневные'!$I$432:$P$432</formula1>
    </dataValidation>
    <dataValidation type="list" allowBlank="1" sqref="F692">
      <formula1>'Повседневные'!$I$692:$P$692</formula1>
    </dataValidation>
    <dataValidation type="list" allowBlank="1" sqref="F314">
      <formula1>'Повседневные'!$I$314:$P$314</formula1>
    </dataValidation>
    <dataValidation type="list" allowBlank="1" sqref="F574">
      <formula1>'Повседневные'!$I$574:$P$574</formula1>
    </dataValidation>
    <dataValidation type="list" allowBlank="1" sqref="F456">
      <formula1>'Повседневные'!$I$456:$P$456</formula1>
    </dataValidation>
    <dataValidation type="list" allowBlank="1" sqref="F417">
      <formula1>'Повседневные'!$I$417:$P$417</formula1>
    </dataValidation>
    <dataValidation type="list" allowBlank="1" sqref="F547">
      <formula1>'Повседневные'!$I$547:$P$547</formula1>
    </dataValidation>
    <dataValidation type="list" allowBlank="1" sqref="F656">
      <formula1>'Повседневные'!$I$656:$P$656</formula1>
    </dataValidation>
    <dataValidation type="list" allowBlank="1" sqref="F786">
      <formula1>'Повседневные'!$I$786:$P$786</formula1>
    </dataValidation>
    <dataValidation type="list" allowBlank="1" sqref="F201">
      <formula1>'Повседневные'!$I$201:$P$201</formula1>
    </dataValidation>
    <dataValidation type="list" allowBlank="1" sqref="F331">
      <formula1>'Повседневные'!$I$331:$P$331</formula1>
    </dataValidation>
    <dataValidation type="list" allowBlank="1" sqref="F29">
      <formula1>'Повседневные'!$I$29:$P$29</formula1>
    </dataValidation>
    <dataValidation type="list" allowBlank="1" sqref="F570">
      <formula1>'Повседневные'!$I$570:$P$570</formula1>
    </dataValidation>
    <dataValidation type="list" allowBlank="1" sqref="F14">
      <formula1>'Повседневные'!$I$14:$P$14</formula1>
    </dataValidation>
    <dataValidation type="list" allowBlank="1" sqref="F316">
      <formula1>'Повседневные'!$I$316:$P$316</formula1>
    </dataValidation>
    <dataValidation type="list" allowBlank="1" sqref="F425">
      <formula1>'Повседневные'!$I$425:$P$425</formula1>
    </dataValidation>
    <dataValidation type="list" allowBlank="1" sqref="F555">
      <formula1>'Повседневные'!$I$555:$P$555</formula1>
    </dataValidation>
    <dataValidation type="list" allowBlank="1" sqref="F100">
      <formula1>'Повседневные'!$I$100:$P$100</formula1>
    </dataValidation>
    <dataValidation type="list" allowBlank="1" sqref="F490">
      <formula1>'Повседневные'!$I$490:$P$490</formula1>
    </dataValidation>
    <dataValidation type="list" allowBlank="1" sqref="F21">
      <formula1>'Повседневные'!$I$21:$P$21</formula1>
    </dataValidation>
    <dataValidation type="list" allowBlank="1" sqref="F324">
      <formula1>'Повседневные'!$I$324:$P$324</formula1>
    </dataValidation>
    <dataValidation type="list" allowBlank="1" sqref="F913">
      <formula1>'Повседневные'!$I$913:$P$913</formula1>
    </dataValidation>
    <dataValidation type="list" allowBlank="1" sqref="F879">
      <formula1>'Повседневные'!$I$879:$P$879</formula1>
    </dataValidation>
    <dataValidation type="list" allowBlank="1" sqref="F890">
      <formula1>'Повседневные'!$I$890:$P$890</formula1>
    </dataValidation>
    <dataValidation type="list" allowBlank="1" sqref="F512">
      <formula1>'Повседневные'!$I$512:$P$512</formula1>
    </dataValidation>
    <dataValidation type="list" allowBlank="1" sqref="F642">
      <formula1>'Повседневные'!$I$642:$P$642</formula1>
    </dataValidation>
    <dataValidation type="list" allowBlank="1" sqref="F648">
      <formula1>'Повседневные'!$I$648:$P$648</formula1>
    </dataValidation>
    <dataValidation type="list" allowBlank="1" sqref="F778">
      <formula1>'Повседневные'!$I$778:$P$778</formula1>
    </dataValidation>
    <dataValidation type="list" allowBlank="1" sqref="F812">
      <formula1>'Повседневные'!$I$812:$P$812</formula1>
    </dataValidation>
    <dataValidation type="list" allowBlank="1" sqref="F411">
      <formula1>'Повседневные'!$I$411:$P$411</formula1>
    </dataValidation>
    <dataValidation type="list" allowBlank="1" sqref="F36">
      <formula1>'Повседневные'!$I$36:$P$36</formula1>
    </dataValidation>
    <dataValidation type="list" allowBlank="1" sqref="F86">
      <formula1>'Повседневные'!$I$86:$P$86</formula1>
    </dataValidation>
    <dataValidation type="list" allowBlank="1" sqref="F644">
      <formula1>'Повседневные'!$I$644:$P$644</formula1>
    </dataValidation>
    <dataValidation type="list" allowBlank="1" sqref="F795">
      <formula1>'Повседневные'!$I$795:$P$795</formula1>
    </dataValidation>
    <dataValidation type="list" allowBlank="1" sqref="F408">
      <formula1>'Повседневные'!$I$408:$P$408</formula1>
    </dataValidation>
    <dataValidation type="list" allowBlank="1" sqref="F559">
      <formula1>'Повседневные'!$I$559:$P$559</formula1>
    </dataValidation>
    <dataValidation type="list" allowBlank="1" sqref="F6">
      <formula1>'Повседневные'!$I$6:$P$6</formula1>
    </dataValidation>
    <dataValidation type="list" allowBlank="1" sqref="F473">
      <formula1>'Повседневные'!$I$473:$P$473</formula1>
    </dataValidation>
    <dataValidation type="list" allowBlank="1" sqref="F911">
      <formula1>'Повседневные'!$I$911:$P$911</formula1>
    </dataValidation>
    <dataValidation type="list" allowBlank="1" sqref="F413">
      <formula1>'Повседневные'!$I$413:$P$413</formula1>
    </dataValidation>
    <dataValidation type="list" allowBlank="1" sqref="F564">
      <formula1>'Повседневные'!$I$564:$P$564</formula1>
    </dataValidation>
    <dataValidation type="list" allowBlank="1" sqref="F328">
      <formula1>'Повседневные'!$I$328:$P$328</formula1>
    </dataValidation>
    <dataValidation type="list" allowBlank="1" sqref="F242">
      <formula1>'Повседневные'!$I$242:$P$242</formula1>
    </dataValidation>
    <dataValidation type="list" allowBlank="1" sqref="F873">
      <formula1>'Повседневные'!$I$873:$P$873</formula1>
    </dataValidation>
    <dataValidation type="list" allowBlank="1" sqref="F788">
      <formula1>'Повседневные'!$I$788:$P$788</formula1>
    </dataValidation>
    <dataValidation type="list" allowBlank="1" sqref="F333">
      <formula1>'Повседневные'!$I$333:$P$333</formula1>
    </dataValidation>
    <dataValidation type="list" allowBlank="1" sqref="F475">
      <formula1>'Повседневные'!$I$475:$P$475</formula1>
    </dataValidation>
    <dataValidation type="list" allowBlank="1" sqref="F728">
      <formula1>'Повседневные'!$I$728:$P$728</formula1>
    </dataValidation>
    <dataValidation type="list" allowBlank="1" sqref="F793">
      <formula1>'Повседневные'!$I$793:$P$793</formula1>
    </dataValidation>
    <dataValidation type="list" allowBlank="1" sqref="F415">
      <formula1>'Повседневные'!$I$415:$P$415</formula1>
    </dataValidation>
    <dataValidation type="list" allowBlank="1" sqref="F557">
      <formula1>'Повседневные'!$I$557:$P$557</formula1>
    </dataValidation>
    <dataValidation type="list" allowBlank="1" sqref="F102">
      <formula1>'Повседневные'!$I$102:$P$102</formula1>
    </dataValidation>
    <dataValidation type="list" allowBlank="1" sqref="F244">
      <formula1>'Повседневные'!$I$244:$P$244</formula1>
    </dataValidation>
    <dataValidation type="list" allowBlank="1" sqref="F875">
      <formula1>'Повседневные'!$I$875:$P$875</formula1>
    </dataValidation>
    <dataValidation type="list" allowBlank="1" sqref="F79">
      <formula1>'Повседневные'!$I$79:$P$79</formula1>
    </dataValidation>
    <dataValidation type="list" allowBlank="1" sqref="F562">
      <formula1>'Повседневные'!$I$562:$P$562</formula1>
    </dataValidation>
    <dataValidation type="list" allowBlank="1" sqref="F639">
      <formula1>'Повседневные'!$I$639:$P$639</formula1>
    </dataValidation>
    <dataValidation type="list" allowBlank="1" sqref="F43">
      <formula1>'Повседневные'!$I$43:$P$43</formula1>
    </dataValidation>
    <dataValidation type="list" allowBlank="1" sqref="F326">
      <formula1>'Повседневные'!$I$326:$P$326</formula1>
    </dataValidation>
    <dataValidation type="list" allowBlank="1" sqref="F131">
      <formula1>'Повседневные'!$I$131:$P$131</formula1>
    </dataValidation>
    <dataValidation type="list" allowBlank="1" sqref="F261">
      <formula1>'Повседневные'!$I$261:$P$261</formula1>
    </dataValidation>
    <dataValidation type="list" allowBlank="1" sqref="F915">
      <formula1>'Повседневные'!$I$915:$P$915</formula1>
    </dataValidation>
    <dataValidation type="list" allowBlank="1" sqref="F67">
      <formula1>'Повседневные'!$I$67:$P$67</formula1>
    </dataValidation>
    <dataValidation type="list" allowBlank="1" sqref="F871">
      <formula1>'Повседневные'!$I$871:$P$871</formula1>
    </dataValidation>
    <dataValidation type="list" allowBlank="1" sqref="F7">
      <formula1>'Повседневные'!$I$7:$P$7</formula1>
    </dataValidation>
    <dataValidation type="list" allowBlank="1" sqref="F17">
      <formula1>'Повседневные'!$I$17:$P$17</formula1>
    </dataValidation>
    <dataValidation type="list" allowBlank="1" sqref="F288">
      <formula1>'Повседневные'!$I$288:$P$288</formula1>
    </dataValidation>
    <dataValidation type="list" allowBlank="1" sqref="F116">
      <formula1>'Повседневные'!$I$116:$P$116</formula1>
    </dataValidation>
    <dataValidation type="list" allowBlank="1" sqref="F246">
      <formula1>'Повседневные'!$I$246:$P$246</formula1>
    </dataValidation>
    <dataValidation type="list" allowBlank="1" sqref="F726">
      <formula1>'Повседневные'!$I$726:$P$726</formula1>
    </dataValidation>
    <dataValidation type="list" allowBlank="1" sqref="F856">
      <formula1>'Повседневные'!$I$856:$P$856</formula1>
    </dataValidation>
    <dataValidation type="list" allowBlank="1" sqref="F640">
      <formula1>'Повседневные'!$I$640:$P$640</formula1>
    </dataValidation>
    <dataValidation type="list" allowBlank="1" sqref="F770">
      <formula1>'Повседневные'!$I$770:$P$770</formula1>
    </dataValidation>
    <dataValidation type="list" allowBlank="1" sqref="F26">
      <formula1>'Повседневные'!$I$26:$P$26</formula1>
    </dataValidation>
    <dataValidation type="list" allowBlank="1" sqref="F187">
      <formula1>'Повседневные'!$I$187:$P$187</formula1>
    </dataValidation>
    <dataValidation type="list" allowBlank="1" sqref="F625">
      <formula1>'Повседневные'!$I$625:$P$625</formula1>
    </dataValidation>
    <dataValidation type="list" allowBlank="1" sqref="F755">
      <formula1>'Повседневные'!$I$755:$P$755</formula1>
    </dataValidation>
    <dataValidation type="list" allowBlank="1" sqref="F885">
      <formula1>'Повседневные'!$I$885:$P$885</formula1>
    </dataValidation>
    <dataValidation type="list" allowBlank="1" sqref="F549">
      <formula1>'Повседневные'!$I$549:$P$549</formula1>
    </dataValidation>
    <dataValidation type="list" allowBlank="1" sqref="F679">
      <formula1>'Повседневные'!$I$679:$P$679</formula1>
    </dataValidation>
    <dataValidation type="list" allowBlank="1" sqref="F507">
      <formula1>'Повседневные'!$I$507:$P$507</formula1>
    </dataValidation>
    <dataValidation type="list" allowBlank="1" sqref="F901">
      <formula1>'Повседневные'!$I$901:$P$901</formula1>
    </dataValidation>
    <dataValidation type="list" allowBlank="1" sqref="F33">
      <formula1>'Повседневные'!$I$33:$P$33</formula1>
    </dataValidation>
    <dataValidation type="list" allowBlank="1" sqref="F524">
      <formula1>'Повседневные'!$I$524:$P$524</formula1>
    </dataValidation>
    <dataValidation type="list" allowBlank="1" sqref="F696">
      <formula1>'Повседневные'!$I$696:$P$696</formula1>
    </dataValidation>
    <dataValidation type="list" allowBlank="1" sqref="F654">
      <formula1>'Повседневные'!$I$654:$P$654</formula1>
    </dataValidation>
    <dataValidation type="list" allowBlank="1" sqref="F318">
      <formula1>'Повседневные'!$I$318:$P$318</formula1>
    </dataValidation>
    <dataValidation type="list" allowBlank="1" sqref="F448">
      <formula1>'Повседневные'!$I$448:$P$448</formula1>
    </dataValidation>
    <dataValidation type="list" allowBlank="1" sqref="F578">
      <formula1>'Повседневные'!$I$578:$P$578</formula1>
    </dataValidation>
    <dataValidation type="list" allowBlank="1" sqref="F800">
      <formula1>'Повседневные'!$I$800:$P$800</formula1>
    </dataValidation>
    <dataValidation type="list" allowBlank="1" sqref="F930">
      <formula1>'Повседневные'!$I$930:$P$930</formula1>
    </dataValidation>
    <dataValidation type="list" allowBlank="1" sqref="F465">
      <formula1>'Повседневные'!$I$465:$P$465</formula1>
    </dataValidation>
    <dataValidation type="list" allowBlank="1" sqref="F595">
      <formula1>'Повседневные'!$I$595:$P$595</formula1>
    </dataValidation>
    <dataValidation type="list" allowBlank="1" sqref="F423">
      <formula1>'Повседневные'!$I$423:$P$423</formula1>
    </dataValidation>
    <dataValidation type="list" allowBlank="1" sqref="F83">
      <formula1>'Повседневные'!$I$83:$P$83</formula1>
    </dataValidation>
    <dataValidation type="list" allowBlank="1" sqref="F217">
      <formula1>'Повседневные'!$I$217:$P$217</formula1>
    </dataValidation>
    <dataValidation type="list" allowBlank="1" sqref="F347">
      <formula1>'Повседневные'!$I$347:$P$347</formula1>
    </dataValidation>
    <dataValidation type="list" allowBlank="1" sqref="F477">
      <formula1>'Повседневные'!$I$477:$P$477</formula1>
    </dataValidation>
    <dataValidation type="list" allowBlank="1" sqref="F709">
      <formula1>'Повседневные'!$I$709:$P$709</formula1>
    </dataValidation>
    <dataValidation type="list" allowBlank="1" sqref="F69">
      <formula1>'Повседневные'!$I$69:$P$69</formula1>
    </dataValidation>
    <dataValidation type="list" allowBlank="1" sqref="F753">
      <formula1>'Повседневные'!$I$753:$P$753</formula1>
    </dataValidation>
    <dataValidation type="list" allowBlank="1" sqref="F234">
      <formula1>'Повседневные'!$I$234:$P$234</formula1>
    </dataValidation>
    <dataValidation type="list" allowBlank="1" sqref="F494">
      <formula1>'Повседневные'!$I$494:$P$494</formula1>
    </dataValidation>
    <dataValidation type="list" allowBlank="1" sqref="F802">
      <formula1>'Повседневные'!$I$802:$P$802</formula1>
    </dataValidation>
    <dataValidation type="list" allowBlank="1" sqref="F738">
      <formula1>'Повседневные'!$I$738:$P$738</formula1>
    </dataValidation>
    <dataValidation type="list" allowBlank="1" sqref="F694">
      <formula1>'Повседневные'!$I$694:$P$694</formula1>
    </dataValidation>
    <dataValidation type="list" allowBlank="1" sqref="F522">
      <formula1>'Повседневные'!$I$522:$P$522</formula1>
    </dataValidation>
    <dataValidation type="list" allowBlank="1" sqref="F219">
      <formula1>'Повседневные'!$I$219:$P$219</formula1>
    </dataValidation>
    <dataValidation type="list" allowBlank="1" sqref="F479">
      <formula1>'Повседневные'!$I$479:$P$479</formula1>
    </dataValidation>
    <dataValidation type="list" allowBlank="1" sqref="F917">
      <formula1>'Повседневные'!$I$917:$P$917</formula1>
    </dataValidation>
    <dataValidation type="list" allowBlank="1" sqref="F263">
      <formula1>'Повседневные'!$I$263:$P$263</formula1>
    </dataValidation>
    <dataValidation type="list" allowBlank="1" sqref="F831">
      <formula1>'Повседневные'!$I$831:$P$831</formula1>
    </dataValidation>
    <dataValidation type="list" allowBlank="1" sqref="F463">
      <formula1>'Повседневные'!$I$463:$P$463</formula1>
    </dataValidation>
    <dataValidation type="list" allowBlank="1" sqref="F345">
      <formula1>'Повседневные'!$I$345:$P$345</formula1>
    </dataValidation>
    <dataValidation type="list" allowBlank="1" sqref="F858">
      <formula1>'Повседневные'!$I$858:$P$858</formula1>
    </dataValidation>
    <dataValidation type="list" allowBlank="1" sqref="F40">
      <formula1>'Повседневные'!$I$40:$P$40</formula1>
    </dataValidation>
    <dataValidation type="list" allowBlank="1" sqref="F232">
      <formula1>'Повседневные'!$I$232:$P$232</formula1>
    </dataValidation>
    <dataValidation type="list" allowBlank="1" sqref="F492">
      <formula1>'Повседневные'!$I$492:$P$492</formula1>
    </dataValidation>
    <dataValidation type="list" allowBlank="1" sqref="F76">
      <formula1>'Повседневные'!$I$76:$P$76</formula1>
    </dataValidation>
    <dataValidation type="list" allowBlank="1" sqref="F286">
      <formula1>'Повседневные'!$I$286:$P$286</formula1>
    </dataValidation>
    <dataValidation type="list" allowBlank="1" sqref="F114">
      <formula1>'Повседневные'!$I$114:$P$114</formula1>
    </dataValidation>
    <dataValidation type="list" allowBlank="1" sqref="F627">
      <formula1>'Повседневные'!$I$627:$P$627</formula1>
    </dataValidation>
    <dataValidation type="list" allowBlank="1" sqref="F88">
      <formula1>'Повседневные'!$I$88:$P$88</formula1>
    </dataValidation>
    <dataValidation type="list" allowBlank="1" sqref="F887">
      <formula1>'Повседневные'!$I$887:$P$887</formula1>
    </dataValidation>
    <dataValidation type="list" allowBlank="1" sqref="F509">
      <formula1>'Повседневные'!$I$509:$P$509</formula1>
    </dataValidation>
    <dataValidation type="list" allowBlank="1" sqref="F526">
      <formula1>'Повседневные'!$I$526:$P$526</formula1>
    </dataValidation>
    <dataValidation type="list" allowBlank="1" sqref="F677">
      <formula1>'Повседневные'!$I$677:$P$677</formula1>
    </dataValidation>
    <dataValidation type="list" allowBlank="1" sqref="F310">
      <formula1>'Повседневные'!$I$310:$P$310</formula1>
    </dataValidation>
    <dataValidation type="list" allowBlank="1" sqref="F461">
      <formula1>'Повседневные'!$I$461:$P$461</formula1>
    </dataValidation>
    <dataValidation type="list" allowBlank="1" sqref="F591">
      <formula1>'Повседневные'!$I$591:$P$591</formula1>
    </dataValidation>
    <dataValidation type="list" allowBlank="1" sqref="F440">
      <formula1>'Повседневные'!$I$440:$P$440</formula1>
    </dataValidation>
    <dataValidation type="list" allowBlank="1" sqref="F597">
      <formula1>'Повседневные'!$I$597:$P$597</formula1>
    </dataValidation>
    <dataValidation type="list" allowBlank="1" sqref="F446">
      <formula1>'Повседневные'!$I$446:$P$446</formula1>
    </dataValidation>
    <dataValidation type="list" allowBlank="1" sqref="F576">
      <formula1>'Повседневные'!$I$576:$P$576</formula1>
    </dataValidation>
    <dataValidation type="list" allowBlank="1" sqref="F230">
      <formula1>'Повседневные'!$I$230:$P$230</formula1>
    </dataValidation>
    <dataValidation type="list" allowBlank="1" sqref="F360">
      <formula1>'Повседневные'!$I$360:$P$360</formula1>
    </dataValidation>
    <dataValidation type="list" allowBlank="1" sqref="F71">
      <formula1>'Повседневные'!$I$71:$P$71</formula1>
    </dataValidation>
    <dataValidation type="list" allowBlank="1" sqref="F366">
      <formula1>'Повседневные'!$I$366:$P$366</formula1>
    </dataValidation>
    <dataValidation type="list" allowBlank="1" sqref="F496">
      <formula1>'Повседневные'!$I$496:$P$496</formula1>
    </dataValidation>
    <dataValidation type="list" allowBlank="1" sqref="F118">
      <formula1>'Повседневные'!$I$118:$P$118</formula1>
    </dataValidation>
    <dataValidation type="list" allowBlank="1" sqref="F183">
      <formula1>'Повседневные'!$I$183:$P$183</formula1>
    </dataValidation>
    <dataValidation type="list" allowBlank="1" sqref="F707">
      <formula1>'Повседневные'!$I$707:$P$707</formula1>
    </dataValidation>
    <dataValidation type="list" allowBlank="1" sqref="F837">
      <formula1>'Повседневные'!$I$837:$P$837</formula1>
    </dataValidation>
    <dataValidation type="list" allowBlank="1" sqref="F772">
      <formula1>'Повседневные'!$I$772:$P$772</formula1>
    </dataValidation>
    <dataValidation type="list" allowBlank="1" sqref="E2:E1950">
      <formula1>'Справочники'!$B$2:$B$13</formula1>
    </dataValidation>
    <dataValidation type="list" allowBlank="1" sqref="F95">
      <formula1>'Повседневные'!$I$95:$P$95</formula1>
    </dataValidation>
    <dataValidation type="list" allowBlank="1" sqref="F919">
      <formula1>'Повседневные'!$I$919:$P$919</formula1>
    </dataValidation>
    <dataValidation type="list" allowBlank="1" sqref="F135">
      <formula1>'Повседневные'!$I$135:$P$135</formula1>
    </dataValidation>
    <dataValidation type="list" allowBlank="1" sqref="F265">
      <formula1>'Повседневные'!$I$265:$P$265</formula1>
    </dataValidation>
    <dataValidation type="list" allowBlank="1" sqref="F189">
      <formula1>'Повседневные'!$I$189:$P$189</formula1>
    </dataValidation>
    <dataValidation type="list" allowBlank="1" sqref="F854">
      <formula1>'Повседневные'!$I$854:$P$854</formula1>
    </dataValidation>
    <dataValidation type="list" allowBlank="1" sqref="F606">
      <formula1>'Повседневные'!$I$606:$P$606</formula1>
    </dataValidation>
    <dataValidation type="list" allowBlank="1" sqref="F541">
      <formula1>'Повседневные'!$I$541:$P$541</formula1>
    </dataValidation>
    <dataValidation type="list" allowBlank="1" sqref="F671">
      <formula1>'Повседневные'!$I$671:$P$671</formula1>
    </dataValidation>
    <dataValidation type="list" allowBlank="1" sqref="F839">
      <formula1>'Повседневные'!$I$839:$P$839</formula1>
    </dataValidation>
    <dataValidation type="list" allowBlank="1" sqref="F185">
      <formula1>'Повседневные'!$I$185:$P$185</formula1>
    </dataValidation>
    <dataValidation type="list" allowBlank="1" sqref="F623">
      <formula1>'Повседневные'!$I$623:$P$623</formula1>
    </dataValidation>
    <dataValidation type="list" allowBlank="1" sqref="F213">
      <formula1>'Повседневные'!$I$213:$P$213</formula1>
    </dataValidation>
    <dataValidation type="list" allowBlank="1" sqref="F364">
      <formula1>'Повседневные'!$I$364:$P$364</formula1>
    </dataValidation>
    <dataValidation type="list" allowBlank="1" sqref="F932">
      <formula1>'Повседневные'!$I$932:$P$932</formula1>
    </dataValidation>
    <dataValidation type="list" allowBlank="1" sqref="F608">
      <formula1>'Повседневные'!$I$608:$P$608</formula1>
    </dataValidation>
    <dataValidation type="list" allowBlank="1" sqref="F759">
      <formula1>'Повседневные'!$I$759:$P$759</formula1>
    </dataValidation>
    <dataValidation type="list" allowBlank="1" sqref="F673">
      <formula1>'Повседневные'!$I$673:$P$673</formula1>
    </dataValidation>
    <dataValidation type="list" allowBlank="1" sqref="F349">
      <formula1>'Повседневные'!$I$349:$P$349</formula1>
    </dataValidation>
    <dataValidation type="list" allowBlank="1" sqref="F133">
      <formula1>'Повседневные'!$I$133:$P$133</formula1>
    </dataValidation>
    <dataValidation type="list" allowBlank="1" sqref="F701">
      <formula1>'Повседневные'!$I$701:$P$701</formula1>
    </dataValidation>
    <dataValidation type="list" allowBlank="1" sqref="F852">
      <formula1>'Повседневные'!$I$852:$P$852</formula1>
    </dataValidation>
    <dataValidation type="list" allowBlank="1" sqref="F528">
      <formula1>'Повседневные'!$I$528:$P$528</formula1>
    </dataValidation>
    <dataValidation type="list" allowBlank="1" sqref="F593">
      <formula1>'Повседневные'!$I$593:$P$593</formula1>
    </dataValidation>
    <dataValidation type="list" allowBlank="1" sqref="F215">
      <formula1>'Повседневные'!$I$215:$P$215</formula1>
    </dataValidation>
    <dataValidation type="list" allowBlank="1" sqref="F269">
      <formula1>'Повседневные'!$I$269:$P$269</formula1>
    </dataValidation>
    <dataValidation type="list" allowBlank="1" sqref="F280">
      <formula1>'Повседневные'!$I$280:$P$280</formula1>
    </dataValidation>
    <dataValidation type="list" allowBlank="1" sqref="F934">
      <formula1>'Повседневные'!$I$934:$P$934</formula1>
    </dataValidation>
    <dataValidation type="list" allowBlank="1" sqref="F621">
      <formula1>'Повседневные'!$I$621:$P$621</formula1>
    </dataValidation>
    <dataValidation type="list" allowBlank="1" sqref="F675">
      <formula1>'Повседневные'!$I$675:$P$675</formula1>
    </dataValidation>
    <dataValidation type="list" allowBlank="1" sqref="F362">
      <formula1>'Повседневные'!$I$362:$P$362</formula1>
    </dataValidation>
    <dataValidation type="list" allowBlank="1" sqref="F703">
      <formula1>'Повседневные'!$I$703:$P$703</formula1>
    </dataValidation>
    <dataValidation type="list" allowBlank="1" sqref="F757">
      <formula1>'Повседневные'!$I$757:$P$757</formula1>
    </dataValidation>
    <dataValidation type="list" allowBlank="1" sqref="F90">
      <formula1>'Повседневные'!$I$90:$P$90</formula1>
    </dataValidation>
    <dataValidation type="list" allowBlank="1" sqref="F444">
      <formula1>'Повседневные'!$I$444:$P$444</formula1>
    </dataValidation>
    <dataValidation type="list" allowBlank="1" sqref="F498">
      <formula1>'Повседневные'!$I$498:$P$498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13"/>
    <col customWidth="1" min="2" max="2" width="7.25"/>
    <col customWidth="1" min="4" max="4" width="60.25"/>
  </cols>
  <sheetData>
    <row r="1">
      <c r="B1" s="107" t="s">
        <v>263</v>
      </c>
      <c r="C1" s="107" t="s">
        <v>74</v>
      </c>
      <c r="D1" s="107" t="s">
        <v>264</v>
      </c>
      <c r="E1" s="107" t="s">
        <v>265</v>
      </c>
    </row>
    <row r="2">
      <c r="B2" s="108">
        <f t="shared" ref="B2:B9" si="1">MONTH(C2)</f>
        <v>1</v>
      </c>
      <c r="C2" s="109">
        <v>43115.0</v>
      </c>
      <c r="D2" s="110" t="s">
        <v>266</v>
      </c>
      <c r="E2" s="111">
        <v>20000.0</v>
      </c>
    </row>
    <row r="3">
      <c r="B3" s="108">
        <f t="shared" si="1"/>
        <v>2</v>
      </c>
      <c r="C3" s="109">
        <v>43136.0</v>
      </c>
      <c r="D3" s="110" t="s">
        <v>267</v>
      </c>
      <c r="E3" s="111">
        <v>18000.0</v>
      </c>
    </row>
    <row r="4">
      <c r="B4" s="108">
        <f t="shared" si="1"/>
        <v>3</v>
      </c>
      <c r="C4" s="109">
        <v>43166.0</v>
      </c>
      <c r="D4" s="110" t="s">
        <v>268</v>
      </c>
      <c r="E4" s="111">
        <v>9000.0</v>
      </c>
    </row>
    <row r="5">
      <c r="B5" s="108">
        <f t="shared" si="1"/>
        <v>4</v>
      </c>
      <c r="C5" s="109">
        <v>43192.0</v>
      </c>
      <c r="D5" s="110" t="s">
        <v>269</v>
      </c>
      <c r="E5" s="111">
        <v>12000.0</v>
      </c>
    </row>
    <row r="6">
      <c r="B6" s="108">
        <f t="shared" si="1"/>
        <v>4</v>
      </c>
      <c r="C6" s="109">
        <v>43207.0</v>
      </c>
      <c r="D6" s="110" t="s">
        <v>270</v>
      </c>
      <c r="E6" s="111">
        <v>26000.0</v>
      </c>
    </row>
    <row r="7">
      <c r="B7" s="108">
        <f t="shared" si="1"/>
        <v>5</v>
      </c>
      <c r="C7" s="109">
        <v>43587.0</v>
      </c>
      <c r="D7" s="110" t="s">
        <v>271</v>
      </c>
      <c r="E7" s="111">
        <v>5500.0</v>
      </c>
    </row>
    <row r="8">
      <c r="B8" s="108">
        <f t="shared" si="1"/>
        <v>5</v>
      </c>
      <c r="C8" s="109">
        <v>43606.0</v>
      </c>
      <c r="D8" s="110" t="s">
        <v>272</v>
      </c>
      <c r="E8" s="111">
        <v>7800.0</v>
      </c>
    </row>
    <row r="9">
      <c r="B9" s="108">
        <f t="shared" si="1"/>
        <v>6</v>
      </c>
      <c r="C9" s="109">
        <v>43628.0</v>
      </c>
      <c r="D9" s="110" t="s">
        <v>273</v>
      </c>
      <c r="E9" s="111">
        <v>15500.0</v>
      </c>
    </row>
    <row r="10">
      <c r="B10" s="111"/>
      <c r="C10" s="109"/>
      <c r="D10" s="110"/>
      <c r="E10" s="111"/>
    </row>
    <row r="11">
      <c r="B11" s="111"/>
      <c r="C11" s="109"/>
      <c r="D11" s="110"/>
      <c r="E11" s="111"/>
    </row>
    <row r="12">
      <c r="B12" s="111"/>
      <c r="C12" s="109"/>
      <c r="D12" s="110"/>
      <c r="E12" s="111"/>
    </row>
    <row r="13">
      <c r="B13" s="111"/>
      <c r="C13" s="109"/>
      <c r="D13" s="110"/>
      <c r="E13" s="111"/>
    </row>
    <row r="14">
      <c r="B14" s="111"/>
      <c r="C14" s="109"/>
      <c r="D14" s="110"/>
      <c r="E14" s="111"/>
    </row>
    <row r="15">
      <c r="B15" s="111"/>
      <c r="C15" s="109"/>
      <c r="D15" s="110"/>
      <c r="E15" s="111"/>
    </row>
    <row r="16">
      <c r="B16" s="111"/>
      <c r="C16" s="109"/>
      <c r="D16" s="110"/>
      <c r="E16" s="111"/>
    </row>
    <row r="18">
      <c r="B18" s="1"/>
      <c r="C18" s="1" t="s">
        <v>274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0"/>
    <col customWidth="1" min="2" max="2" width="6.13"/>
    <col customWidth="1" min="4" max="4" width="19.88"/>
    <col customWidth="1" min="5" max="5" width="30.38"/>
  </cols>
  <sheetData>
    <row r="1">
      <c r="B1" s="89" t="s">
        <v>263</v>
      </c>
      <c r="C1" s="89" t="s">
        <v>74</v>
      </c>
      <c r="D1" s="89" t="s">
        <v>275</v>
      </c>
      <c r="E1" s="89" t="s">
        <v>276</v>
      </c>
      <c r="F1" s="112" t="s">
        <v>265</v>
      </c>
    </row>
    <row r="2">
      <c r="B2" s="113">
        <f t="shared" ref="B2:B15" si="1">MONTH(C2)</f>
        <v>1</v>
      </c>
      <c r="C2" s="114">
        <v>43106.0</v>
      </c>
      <c r="D2" s="115" t="s">
        <v>277</v>
      </c>
      <c r="E2" s="116"/>
      <c r="F2" s="117">
        <v>35000.0</v>
      </c>
    </row>
    <row r="3">
      <c r="B3" s="113">
        <f t="shared" si="1"/>
        <v>1</v>
      </c>
      <c r="C3" s="114">
        <v>43130.0</v>
      </c>
      <c r="D3" s="115" t="s">
        <v>278</v>
      </c>
      <c r="E3" s="118"/>
      <c r="F3" s="117">
        <v>2500.0</v>
      </c>
    </row>
    <row r="4">
      <c r="B4" s="113">
        <f t="shared" si="1"/>
        <v>2</v>
      </c>
      <c r="C4" s="114">
        <v>43133.0</v>
      </c>
      <c r="D4" s="115" t="s">
        <v>279</v>
      </c>
      <c r="E4" s="118" t="s">
        <v>280</v>
      </c>
      <c r="F4" s="117">
        <v>5700.0</v>
      </c>
    </row>
    <row r="5">
      <c r="B5" s="113">
        <f t="shared" si="1"/>
        <v>2</v>
      </c>
      <c r="C5" s="114">
        <v>43137.0</v>
      </c>
      <c r="D5" s="115" t="s">
        <v>277</v>
      </c>
      <c r="E5" s="116"/>
      <c r="F5" s="117">
        <v>35000.0</v>
      </c>
    </row>
    <row r="6">
      <c r="B6" s="113">
        <f t="shared" si="1"/>
        <v>2</v>
      </c>
      <c r="C6" s="114">
        <v>43159.0</v>
      </c>
      <c r="D6" s="115" t="s">
        <v>278</v>
      </c>
      <c r="E6" s="116"/>
      <c r="F6" s="117">
        <v>2800.0</v>
      </c>
    </row>
    <row r="7">
      <c r="B7" s="113">
        <f t="shared" si="1"/>
        <v>3</v>
      </c>
      <c r="C7" s="114">
        <v>43165.0</v>
      </c>
      <c r="D7" s="115" t="s">
        <v>277</v>
      </c>
      <c r="E7" s="116"/>
      <c r="F7" s="117">
        <v>35000.0</v>
      </c>
    </row>
    <row r="8">
      <c r="B8" s="113">
        <f t="shared" si="1"/>
        <v>3</v>
      </c>
      <c r="C8" s="114">
        <v>43189.0</v>
      </c>
      <c r="D8" s="115" t="s">
        <v>278</v>
      </c>
      <c r="E8" s="116"/>
      <c r="F8" s="117">
        <v>2900.0</v>
      </c>
    </row>
    <row r="9">
      <c r="B9" s="113">
        <f t="shared" si="1"/>
        <v>4</v>
      </c>
      <c r="C9" s="114">
        <v>43196.0</v>
      </c>
      <c r="D9" s="115" t="s">
        <v>277</v>
      </c>
      <c r="E9" s="118"/>
      <c r="F9" s="117">
        <v>35000.0</v>
      </c>
    </row>
    <row r="10">
      <c r="B10" s="113">
        <f t="shared" si="1"/>
        <v>4</v>
      </c>
      <c r="C10" s="114">
        <v>43205.0</v>
      </c>
      <c r="D10" s="115" t="s">
        <v>281</v>
      </c>
      <c r="E10" s="118" t="s">
        <v>282</v>
      </c>
      <c r="F10" s="117">
        <v>29000.0</v>
      </c>
    </row>
    <row r="11">
      <c r="B11" s="113">
        <f t="shared" si="1"/>
        <v>4</v>
      </c>
      <c r="C11" s="114">
        <v>43211.0</v>
      </c>
      <c r="D11" s="115" t="s">
        <v>283</v>
      </c>
      <c r="E11" s="118" t="s">
        <v>284</v>
      </c>
      <c r="F11" s="117">
        <v>8900.0</v>
      </c>
    </row>
    <row r="12">
      <c r="B12" s="113">
        <f t="shared" si="1"/>
        <v>4</v>
      </c>
      <c r="C12" s="114">
        <v>43220.0</v>
      </c>
      <c r="D12" s="115" t="s">
        <v>278</v>
      </c>
      <c r="E12" s="118"/>
      <c r="F12" s="117">
        <v>2800.0</v>
      </c>
    </row>
    <row r="13">
      <c r="B13" s="113">
        <f t="shared" si="1"/>
        <v>5</v>
      </c>
      <c r="C13" s="114">
        <v>43226.0</v>
      </c>
      <c r="D13" s="115" t="s">
        <v>277</v>
      </c>
      <c r="E13" s="118"/>
      <c r="F13" s="117">
        <v>35000.0</v>
      </c>
    </row>
    <row r="14">
      <c r="B14" s="113">
        <f t="shared" si="1"/>
        <v>5</v>
      </c>
      <c r="C14" s="114">
        <v>43250.0</v>
      </c>
      <c r="D14" s="115" t="s">
        <v>278</v>
      </c>
      <c r="E14" s="118"/>
      <c r="F14" s="117">
        <v>2700.0</v>
      </c>
    </row>
    <row r="15">
      <c r="B15" s="113">
        <f t="shared" si="1"/>
        <v>6</v>
      </c>
      <c r="C15" s="114">
        <v>43257.0</v>
      </c>
      <c r="D15" s="115" t="s">
        <v>277</v>
      </c>
      <c r="E15" s="118"/>
      <c r="F15" s="117">
        <v>35000.0</v>
      </c>
    </row>
    <row r="16">
      <c r="B16" s="114"/>
      <c r="C16" s="114"/>
      <c r="D16" s="115"/>
      <c r="E16" s="118"/>
      <c r="F16" s="117"/>
    </row>
    <row r="17">
      <c r="B17" s="114"/>
      <c r="C17" s="114"/>
      <c r="D17" s="115"/>
      <c r="E17" s="118"/>
      <c r="F17" s="117"/>
    </row>
    <row r="18">
      <c r="B18" s="114"/>
      <c r="C18" s="114"/>
      <c r="D18" s="115"/>
      <c r="E18" s="118"/>
      <c r="F18" s="117"/>
    </row>
    <row r="19">
      <c r="B19" s="114"/>
      <c r="C19" s="114"/>
      <c r="D19" s="115"/>
      <c r="E19" s="118"/>
      <c r="F19" s="117"/>
    </row>
    <row r="20">
      <c r="B20" s="114"/>
      <c r="C20" s="114"/>
      <c r="D20" s="115"/>
      <c r="E20" s="118"/>
      <c r="F20" s="117"/>
    </row>
    <row r="21">
      <c r="B21" s="114"/>
      <c r="C21" s="114"/>
      <c r="D21" s="115"/>
      <c r="E21" s="118"/>
      <c r="F21" s="117"/>
    </row>
    <row r="22">
      <c r="B22" s="114"/>
      <c r="C22" s="114"/>
      <c r="D22" s="115"/>
      <c r="E22" s="118"/>
      <c r="F22" s="117"/>
    </row>
    <row r="23">
      <c r="B23" s="114"/>
      <c r="C23" s="114"/>
      <c r="D23" s="115"/>
      <c r="E23" s="115"/>
      <c r="F23" s="117"/>
    </row>
    <row r="24">
      <c r="B24" s="114"/>
      <c r="C24" s="114"/>
      <c r="D24" s="115"/>
      <c r="E24" s="115"/>
      <c r="F24" s="117"/>
    </row>
    <row r="25">
      <c r="B25" s="114"/>
      <c r="C25" s="114"/>
      <c r="D25" s="115"/>
      <c r="E25" s="115"/>
      <c r="F25" s="117"/>
    </row>
    <row r="26">
      <c r="B26" s="114"/>
      <c r="C26" s="114"/>
      <c r="D26" s="115"/>
      <c r="E26" s="115"/>
      <c r="F26" s="117"/>
    </row>
    <row r="27">
      <c r="B27" s="114"/>
      <c r="C27" s="114"/>
      <c r="D27" s="115"/>
      <c r="E27" s="115"/>
      <c r="F27" s="117"/>
    </row>
    <row r="28">
      <c r="B28" s="114"/>
      <c r="C28" s="114"/>
      <c r="D28" s="115"/>
      <c r="E28" s="115"/>
      <c r="F28" s="117"/>
    </row>
    <row r="29">
      <c r="B29" s="114"/>
      <c r="C29" s="114"/>
      <c r="D29" s="115"/>
      <c r="E29" s="115"/>
      <c r="F29" s="117"/>
    </row>
    <row r="30">
      <c r="B30" s="114"/>
      <c r="C30" s="114"/>
      <c r="D30" s="115"/>
      <c r="E30" s="115"/>
      <c r="F30" s="117"/>
    </row>
    <row r="31">
      <c r="B31" s="114"/>
      <c r="C31" s="114"/>
      <c r="D31" s="115"/>
      <c r="E31" s="115"/>
      <c r="F31" s="117"/>
    </row>
    <row r="32">
      <c r="B32" s="114"/>
      <c r="C32" s="114"/>
      <c r="D32" s="115"/>
      <c r="E32" s="115"/>
      <c r="F32" s="117"/>
    </row>
    <row r="33">
      <c r="B33" s="114"/>
      <c r="C33" s="114"/>
      <c r="D33" s="115"/>
      <c r="E33" s="115"/>
      <c r="F33" s="117"/>
    </row>
    <row r="34">
      <c r="B34" s="114"/>
      <c r="C34" s="114"/>
      <c r="D34" s="115"/>
      <c r="E34" s="115"/>
      <c r="F34" s="117"/>
    </row>
    <row r="35">
      <c r="B35" s="114"/>
      <c r="C35" s="114"/>
      <c r="D35" s="115"/>
      <c r="E35" s="115"/>
      <c r="F35" s="117"/>
    </row>
    <row r="36">
      <c r="B36" s="114"/>
      <c r="C36" s="114"/>
      <c r="D36" s="115"/>
      <c r="E36" s="115"/>
      <c r="F36" s="117"/>
    </row>
    <row r="37">
      <c r="B37" s="114"/>
      <c r="C37" s="114"/>
      <c r="D37" s="115"/>
      <c r="E37" s="115"/>
      <c r="F37" s="117"/>
    </row>
    <row r="38">
      <c r="B38" s="114"/>
      <c r="C38" s="114"/>
      <c r="D38" s="115"/>
      <c r="E38" s="115"/>
      <c r="F38" s="117"/>
    </row>
    <row r="39">
      <c r="B39" s="114"/>
      <c r="C39" s="114"/>
      <c r="D39" s="115"/>
      <c r="E39" s="115"/>
      <c r="F39" s="117"/>
    </row>
    <row r="40">
      <c r="B40" s="114"/>
      <c r="C40" s="114"/>
      <c r="D40" s="115"/>
      <c r="E40" s="115"/>
      <c r="F40" s="117"/>
    </row>
    <row r="41">
      <c r="B41" s="114"/>
      <c r="C41" s="114"/>
      <c r="D41" s="115"/>
      <c r="E41" s="115"/>
      <c r="F41" s="117"/>
    </row>
    <row r="42">
      <c r="B42" s="114"/>
      <c r="C42" s="114"/>
      <c r="D42" s="115"/>
      <c r="E42" s="115"/>
      <c r="F42" s="117"/>
    </row>
    <row r="43">
      <c r="B43" s="114"/>
      <c r="C43" s="114"/>
      <c r="D43" s="115"/>
      <c r="E43" s="115"/>
      <c r="F43" s="117"/>
    </row>
    <row r="44">
      <c r="B44" s="114"/>
      <c r="C44" s="114"/>
      <c r="D44" s="115"/>
      <c r="E44" s="115"/>
      <c r="F44" s="117"/>
    </row>
    <row r="45">
      <c r="B45" s="114"/>
      <c r="C45" s="114"/>
      <c r="D45" s="115"/>
      <c r="E45" s="115"/>
      <c r="F45" s="117"/>
    </row>
    <row r="46">
      <c r="B46" s="114"/>
      <c r="C46" s="114"/>
      <c r="D46" s="115"/>
      <c r="E46" s="115"/>
      <c r="F46" s="117"/>
    </row>
    <row r="47">
      <c r="B47" s="114"/>
      <c r="C47" s="114"/>
      <c r="D47" s="115"/>
      <c r="E47" s="115"/>
      <c r="F47" s="117"/>
    </row>
    <row r="48">
      <c r="B48" s="114"/>
      <c r="C48" s="114"/>
      <c r="D48" s="115"/>
      <c r="E48" s="115"/>
      <c r="F48" s="117"/>
    </row>
    <row r="49">
      <c r="B49" s="114"/>
      <c r="C49" s="114"/>
      <c r="D49" s="115"/>
      <c r="E49" s="115"/>
      <c r="F49" s="117"/>
    </row>
    <row r="50">
      <c r="B50" s="114"/>
      <c r="C50" s="114"/>
      <c r="D50" s="115"/>
      <c r="E50" s="115"/>
      <c r="F50" s="117"/>
    </row>
    <row r="51">
      <c r="B51" s="114"/>
      <c r="C51" s="114"/>
      <c r="D51" s="115"/>
      <c r="E51" s="115"/>
      <c r="F51" s="117"/>
    </row>
    <row r="52">
      <c r="B52" s="114"/>
      <c r="C52" s="114"/>
      <c r="D52" s="115"/>
      <c r="E52" s="115"/>
      <c r="F52" s="117"/>
    </row>
    <row r="53">
      <c r="B53" s="114"/>
      <c r="C53" s="114"/>
      <c r="D53" s="115"/>
      <c r="E53" s="115"/>
      <c r="F53" s="117"/>
    </row>
    <row r="54">
      <c r="B54" s="114"/>
      <c r="C54" s="114"/>
      <c r="D54" s="115"/>
      <c r="E54" s="115"/>
      <c r="F54" s="117"/>
    </row>
    <row r="55">
      <c r="B55" s="114"/>
      <c r="C55" s="114"/>
      <c r="D55" s="115"/>
      <c r="E55" s="115"/>
      <c r="F55" s="117"/>
    </row>
    <row r="56">
      <c r="B56" s="114"/>
      <c r="C56" s="114"/>
      <c r="D56" s="115"/>
      <c r="E56" s="115"/>
      <c r="F56" s="117"/>
    </row>
    <row r="57">
      <c r="B57" s="114"/>
      <c r="C57" s="114"/>
      <c r="D57" s="115"/>
      <c r="E57" s="115"/>
      <c r="F57" s="117"/>
    </row>
    <row r="58">
      <c r="B58" s="114"/>
      <c r="C58" s="114"/>
      <c r="D58" s="115"/>
      <c r="E58" s="115"/>
      <c r="F58" s="117"/>
    </row>
    <row r="59">
      <c r="B59" s="114"/>
      <c r="C59" s="114"/>
      <c r="D59" s="115"/>
      <c r="E59" s="115"/>
      <c r="F59" s="117"/>
    </row>
    <row r="60">
      <c r="B60" s="114"/>
      <c r="C60" s="114"/>
      <c r="D60" s="115"/>
      <c r="E60" s="115"/>
      <c r="F60" s="117"/>
    </row>
    <row r="61">
      <c r="B61" s="114"/>
      <c r="C61" s="114"/>
      <c r="D61" s="115"/>
      <c r="E61" s="115"/>
      <c r="F61" s="117"/>
    </row>
    <row r="62">
      <c r="B62" s="114"/>
      <c r="C62" s="114"/>
      <c r="D62" s="115"/>
      <c r="E62" s="115"/>
      <c r="F62" s="117"/>
    </row>
    <row r="63">
      <c r="B63" s="114"/>
      <c r="C63" s="114"/>
      <c r="D63" s="115"/>
      <c r="E63" s="115"/>
      <c r="F63" s="117"/>
    </row>
    <row r="64">
      <c r="B64" s="114"/>
      <c r="C64" s="114"/>
      <c r="D64" s="115"/>
      <c r="E64" s="115"/>
      <c r="F64" s="117"/>
    </row>
    <row r="65">
      <c r="B65" s="114"/>
      <c r="C65" s="114"/>
      <c r="D65" s="115"/>
      <c r="E65" s="115"/>
      <c r="F65" s="117"/>
    </row>
    <row r="66">
      <c r="B66" s="114"/>
      <c r="C66" s="114"/>
      <c r="D66" s="115"/>
      <c r="E66" s="115"/>
      <c r="F66" s="117"/>
    </row>
    <row r="67">
      <c r="B67" s="114"/>
      <c r="C67" s="114"/>
      <c r="D67" s="115"/>
      <c r="E67" s="115"/>
      <c r="F67" s="117"/>
    </row>
    <row r="68">
      <c r="B68" s="114"/>
      <c r="C68" s="114"/>
      <c r="D68" s="115"/>
      <c r="E68" s="115"/>
      <c r="F68" s="117"/>
    </row>
    <row r="69">
      <c r="B69" s="114"/>
      <c r="C69" s="114"/>
      <c r="D69" s="115"/>
      <c r="E69" s="115"/>
      <c r="F69" s="117"/>
    </row>
    <row r="70">
      <c r="B70" s="114"/>
      <c r="C70" s="114"/>
      <c r="D70" s="115"/>
      <c r="E70" s="115"/>
      <c r="F70" s="117"/>
    </row>
    <row r="71">
      <c r="B71" s="114"/>
      <c r="C71" s="114"/>
      <c r="D71" s="115"/>
      <c r="E71" s="115"/>
      <c r="F71" s="117"/>
    </row>
    <row r="72">
      <c r="B72" s="114"/>
      <c r="C72" s="114"/>
      <c r="D72" s="115"/>
      <c r="E72" s="115"/>
      <c r="F72" s="117"/>
    </row>
    <row r="73">
      <c r="B73" s="114"/>
      <c r="C73" s="114"/>
      <c r="D73" s="115"/>
      <c r="E73" s="115"/>
      <c r="F73" s="117"/>
    </row>
    <row r="74">
      <c r="B74" s="114"/>
      <c r="C74" s="114"/>
      <c r="D74" s="115"/>
      <c r="E74" s="115"/>
      <c r="F74" s="117"/>
    </row>
    <row r="75">
      <c r="B75" s="114"/>
      <c r="C75" s="114"/>
      <c r="D75" s="115"/>
      <c r="E75" s="115"/>
      <c r="F75" s="117"/>
    </row>
    <row r="76">
      <c r="B76" s="114"/>
      <c r="C76" s="114"/>
      <c r="D76" s="115"/>
      <c r="E76" s="115"/>
      <c r="F76" s="117"/>
    </row>
    <row r="77">
      <c r="B77" s="114"/>
      <c r="C77" s="114"/>
      <c r="D77" s="115"/>
      <c r="E77" s="115"/>
      <c r="F77" s="117"/>
    </row>
    <row r="78">
      <c r="B78" s="114"/>
      <c r="C78" s="114"/>
      <c r="D78" s="115"/>
      <c r="E78" s="115"/>
      <c r="F78" s="117"/>
    </row>
    <row r="79">
      <c r="B79" s="114"/>
      <c r="C79" s="114"/>
      <c r="D79" s="115"/>
      <c r="E79" s="115"/>
      <c r="F79" s="117"/>
    </row>
    <row r="80">
      <c r="B80" s="114"/>
      <c r="C80" s="114"/>
      <c r="D80" s="115"/>
      <c r="E80" s="115"/>
      <c r="F80" s="117"/>
    </row>
    <row r="81">
      <c r="B81" s="114"/>
      <c r="C81" s="114"/>
      <c r="D81" s="115"/>
      <c r="E81" s="115"/>
      <c r="F81" s="117"/>
    </row>
    <row r="82">
      <c r="B82" s="114"/>
      <c r="C82" s="114"/>
      <c r="D82" s="115"/>
      <c r="E82" s="115"/>
      <c r="F82" s="117"/>
    </row>
    <row r="83">
      <c r="B83" s="114"/>
      <c r="C83" s="114"/>
      <c r="D83" s="115"/>
      <c r="E83" s="115"/>
      <c r="F83" s="117"/>
    </row>
    <row r="84">
      <c r="B84" s="114"/>
      <c r="C84" s="114"/>
      <c r="D84" s="115"/>
      <c r="E84" s="115"/>
      <c r="F84" s="117"/>
    </row>
    <row r="85">
      <c r="B85" s="114"/>
      <c r="C85" s="114"/>
      <c r="D85" s="115"/>
      <c r="E85" s="115"/>
      <c r="F85" s="117"/>
    </row>
    <row r="86">
      <c r="B86" s="114"/>
      <c r="C86" s="114"/>
      <c r="D86" s="115"/>
      <c r="E86" s="115"/>
      <c r="F86" s="117"/>
    </row>
    <row r="87">
      <c r="B87" s="114"/>
      <c r="C87" s="114"/>
      <c r="D87" s="115"/>
      <c r="E87" s="115"/>
      <c r="F87" s="117"/>
    </row>
    <row r="88">
      <c r="B88" s="114"/>
      <c r="C88" s="114"/>
      <c r="D88" s="115"/>
      <c r="E88" s="115"/>
      <c r="F88" s="117"/>
    </row>
    <row r="89">
      <c r="B89" s="114"/>
      <c r="C89" s="114"/>
      <c r="D89" s="115"/>
      <c r="E89" s="115"/>
      <c r="F89" s="117"/>
    </row>
    <row r="90">
      <c r="B90" s="114"/>
      <c r="C90" s="114"/>
      <c r="D90" s="115"/>
      <c r="E90" s="115"/>
      <c r="F90" s="117"/>
    </row>
    <row r="91">
      <c r="B91" s="114"/>
      <c r="C91" s="114"/>
      <c r="D91" s="115"/>
      <c r="E91" s="115"/>
      <c r="F91" s="117"/>
    </row>
    <row r="92">
      <c r="B92" s="114"/>
      <c r="C92" s="114"/>
      <c r="D92" s="115"/>
      <c r="E92" s="115"/>
      <c r="F92" s="117"/>
    </row>
    <row r="93">
      <c r="B93" s="114"/>
      <c r="C93" s="114"/>
      <c r="D93" s="115"/>
      <c r="E93" s="115"/>
      <c r="F93" s="117"/>
    </row>
    <row r="94">
      <c r="B94" s="114"/>
      <c r="C94" s="114"/>
      <c r="D94" s="115"/>
      <c r="E94" s="115"/>
      <c r="F94" s="117"/>
    </row>
    <row r="95">
      <c r="B95" s="114"/>
      <c r="C95" s="114"/>
      <c r="D95" s="115"/>
      <c r="E95" s="115"/>
      <c r="F95" s="117"/>
    </row>
    <row r="96">
      <c r="B96" s="114"/>
      <c r="C96" s="114"/>
      <c r="D96" s="115"/>
      <c r="E96" s="115"/>
      <c r="F96" s="117"/>
    </row>
    <row r="97">
      <c r="B97" s="114"/>
      <c r="C97" s="114"/>
      <c r="D97" s="115"/>
      <c r="E97" s="115"/>
      <c r="F97" s="117"/>
    </row>
    <row r="98">
      <c r="B98" s="114"/>
      <c r="C98" s="114"/>
      <c r="D98" s="115"/>
      <c r="E98" s="115"/>
      <c r="F98" s="117"/>
    </row>
    <row r="99">
      <c r="B99" s="114"/>
      <c r="C99" s="114"/>
      <c r="D99" s="115"/>
      <c r="E99" s="115"/>
      <c r="F99" s="117"/>
    </row>
    <row r="100">
      <c r="B100" s="114"/>
      <c r="C100" s="114"/>
      <c r="D100" s="115"/>
      <c r="E100" s="115"/>
      <c r="F100" s="117"/>
    </row>
    <row r="101">
      <c r="B101" s="114"/>
      <c r="C101" s="114"/>
      <c r="D101" s="115"/>
      <c r="E101" s="115"/>
      <c r="F101" s="117"/>
    </row>
    <row r="102">
      <c r="B102" s="114"/>
      <c r="C102" s="114"/>
      <c r="D102" s="115"/>
      <c r="E102" s="115"/>
      <c r="F102" s="117"/>
    </row>
    <row r="103">
      <c r="B103" s="114"/>
      <c r="C103" s="114"/>
      <c r="D103" s="115"/>
      <c r="E103" s="115"/>
      <c r="F103" s="117"/>
    </row>
    <row r="104">
      <c r="B104" s="114"/>
      <c r="C104" s="114"/>
      <c r="D104" s="115"/>
      <c r="E104" s="115"/>
      <c r="F104" s="117"/>
    </row>
    <row r="105">
      <c r="B105" s="114"/>
      <c r="C105" s="114"/>
      <c r="D105" s="115"/>
      <c r="E105" s="115"/>
      <c r="F105" s="117"/>
    </row>
    <row r="106">
      <c r="B106" s="114"/>
      <c r="C106" s="114"/>
      <c r="D106" s="115"/>
      <c r="E106" s="115"/>
      <c r="F106" s="117"/>
    </row>
    <row r="107">
      <c r="B107" s="114"/>
      <c r="C107" s="114"/>
      <c r="D107" s="115"/>
      <c r="E107" s="115"/>
      <c r="F107" s="117"/>
    </row>
    <row r="108">
      <c r="B108" s="114"/>
      <c r="C108" s="114"/>
      <c r="D108" s="115"/>
      <c r="E108" s="115"/>
      <c r="F108" s="117"/>
    </row>
    <row r="109">
      <c r="B109" s="114"/>
      <c r="C109" s="114"/>
      <c r="D109" s="115"/>
      <c r="E109" s="115"/>
      <c r="F109" s="117"/>
    </row>
    <row r="110">
      <c r="B110" s="114"/>
      <c r="C110" s="114"/>
      <c r="D110" s="115"/>
      <c r="E110" s="115"/>
      <c r="F110" s="117"/>
    </row>
    <row r="111">
      <c r="B111" s="114"/>
      <c r="C111" s="114"/>
      <c r="D111" s="115"/>
      <c r="E111" s="115"/>
      <c r="F111" s="117"/>
    </row>
    <row r="112">
      <c r="B112" s="114"/>
      <c r="C112" s="114"/>
      <c r="D112" s="115"/>
      <c r="E112" s="115"/>
      <c r="F112" s="117"/>
    </row>
    <row r="113">
      <c r="B113" s="114"/>
      <c r="C113" s="114"/>
      <c r="D113" s="115"/>
      <c r="E113" s="115"/>
      <c r="F113" s="117"/>
    </row>
    <row r="114">
      <c r="B114" s="114"/>
      <c r="C114" s="114"/>
      <c r="D114" s="115"/>
      <c r="E114" s="115"/>
      <c r="F114" s="117"/>
    </row>
    <row r="115">
      <c r="B115" s="114"/>
      <c r="C115" s="114"/>
      <c r="D115" s="115"/>
      <c r="E115" s="115"/>
      <c r="F115" s="117"/>
    </row>
    <row r="116">
      <c r="B116" s="114"/>
      <c r="C116" s="114"/>
      <c r="D116" s="115"/>
      <c r="E116" s="115"/>
      <c r="F116" s="117"/>
    </row>
    <row r="117">
      <c r="B117" s="114"/>
      <c r="C117" s="114"/>
      <c r="D117" s="115"/>
      <c r="E117" s="115"/>
      <c r="F117" s="117"/>
    </row>
    <row r="118">
      <c r="B118" s="114"/>
      <c r="C118" s="114"/>
      <c r="D118" s="115"/>
      <c r="E118" s="115"/>
      <c r="F118" s="117"/>
    </row>
    <row r="119">
      <c r="B119" s="114"/>
      <c r="C119" s="114"/>
      <c r="D119" s="115"/>
      <c r="E119" s="115"/>
      <c r="F119" s="117"/>
    </row>
    <row r="120">
      <c r="B120" s="114"/>
      <c r="C120" s="114"/>
      <c r="D120" s="115"/>
      <c r="E120" s="115"/>
      <c r="F120" s="117"/>
    </row>
    <row r="121">
      <c r="B121" s="114"/>
      <c r="C121" s="114"/>
      <c r="D121" s="115"/>
      <c r="E121" s="115"/>
      <c r="F121" s="117"/>
    </row>
    <row r="122">
      <c r="B122" s="114"/>
      <c r="C122" s="114"/>
      <c r="D122" s="115"/>
      <c r="E122" s="115"/>
      <c r="F122" s="117"/>
    </row>
    <row r="123">
      <c r="B123" s="114"/>
      <c r="C123" s="114"/>
      <c r="D123" s="115"/>
      <c r="E123" s="115"/>
      <c r="F123" s="117"/>
    </row>
    <row r="124">
      <c r="B124" s="114"/>
      <c r="C124" s="114"/>
      <c r="D124" s="115"/>
      <c r="E124" s="115"/>
      <c r="F124" s="117"/>
    </row>
    <row r="125">
      <c r="B125" s="114"/>
      <c r="C125" s="114"/>
      <c r="D125" s="115"/>
      <c r="E125" s="115"/>
      <c r="F125" s="117"/>
    </row>
    <row r="126">
      <c r="B126" s="114"/>
      <c r="C126" s="114"/>
      <c r="D126" s="115"/>
      <c r="E126" s="115"/>
      <c r="F126" s="117"/>
    </row>
    <row r="127">
      <c r="B127" s="114"/>
      <c r="C127" s="114"/>
      <c r="D127" s="115"/>
      <c r="E127" s="115"/>
      <c r="F127" s="117"/>
    </row>
    <row r="128">
      <c r="B128" s="114"/>
      <c r="C128" s="114"/>
      <c r="D128" s="115"/>
      <c r="E128" s="115"/>
      <c r="F128" s="117"/>
    </row>
    <row r="129">
      <c r="B129" s="114"/>
      <c r="C129" s="114"/>
      <c r="D129" s="115"/>
      <c r="E129" s="115"/>
      <c r="F129" s="117"/>
    </row>
    <row r="130">
      <c r="B130" s="114"/>
      <c r="C130" s="114"/>
      <c r="D130" s="115"/>
      <c r="E130" s="115"/>
      <c r="F130" s="117"/>
    </row>
    <row r="131">
      <c r="B131" s="114"/>
      <c r="C131" s="114"/>
      <c r="D131" s="115"/>
      <c r="E131" s="115"/>
      <c r="F131" s="117"/>
    </row>
    <row r="132">
      <c r="B132" s="114"/>
      <c r="C132" s="114"/>
      <c r="D132" s="115"/>
      <c r="E132" s="115"/>
      <c r="F132" s="117"/>
    </row>
    <row r="133">
      <c r="B133" s="114"/>
      <c r="C133" s="114"/>
      <c r="D133" s="115"/>
      <c r="E133" s="115"/>
      <c r="F133" s="117"/>
    </row>
    <row r="134">
      <c r="B134" s="114"/>
      <c r="C134" s="114"/>
      <c r="D134" s="115"/>
      <c r="E134" s="115"/>
      <c r="F134" s="117"/>
    </row>
    <row r="135">
      <c r="B135" s="114"/>
      <c r="C135" s="114"/>
      <c r="D135" s="115"/>
      <c r="E135" s="115"/>
      <c r="F135" s="117"/>
    </row>
    <row r="136">
      <c r="B136" s="114"/>
      <c r="C136" s="114"/>
      <c r="D136" s="115"/>
      <c r="E136" s="115"/>
      <c r="F136" s="117"/>
    </row>
    <row r="137">
      <c r="B137" s="114"/>
      <c r="C137" s="114"/>
      <c r="D137" s="115"/>
      <c r="E137" s="115"/>
      <c r="F137" s="117"/>
    </row>
    <row r="138">
      <c r="B138" s="114"/>
      <c r="C138" s="114"/>
      <c r="D138" s="115"/>
      <c r="E138" s="115"/>
      <c r="F138" s="117"/>
    </row>
    <row r="139">
      <c r="B139" s="114"/>
      <c r="C139" s="114"/>
      <c r="D139" s="115"/>
      <c r="E139" s="115"/>
      <c r="F139" s="117"/>
    </row>
    <row r="140">
      <c r="B140" s="114"/>
      <c r="C140" s="114"/>
      <c r="D140" s="115"/>
      <c r="E140" s="115"/>
      <c r="F140" s="117"/>
    </row>
    <row r="141">
      <c r="B141" s="114"/>
      <c r="C141" s="114"/>
      <c r="D141" s="115"/>
      <c r="E141" s="115"/>
      <c r="F141" s="117"/>
    </row>
    <row r="142">
      <c r="B142" s="114"/>
      <c r="C142" s="114"/>
      <c r="D142" s="115"/>
      <c r="E142" s="115"/>
      <c r="F142" s="117"/>
    </row>
    <row r="143">
      <c r="B143" s="114"/>
      <c r="C143" s="114"/>
      <c r="D143" s="115"/>
      <c r="E143" s="115"/>
      <c r="F143" s="117"/>
    </row>
    <row r="144">
      <c r="B144" s="114"/>
      <c r="C144" s="114"/>
      <c r="D144" s="115"/>
      <c r="E144" s="115"/>
      <c r="F144" s="117"/>
    </row>
    <row r="145">
      <c r="B145" s="114"/>
      <c r="C145" s="114"/>
      <c r="D145" s="115"/>
      <c r="E145" s="115"/>
      <c r="F145" s="117"/>
    </row>
    <row r="146">
      <c r="B146" s="114"/>
      <c r="C146" s="114"/>
      <c r="D146" s="115"/>
      <c r="E146" s="115"/>
      <c r="F146" s="117"/>
    </row>
    <row r="147">
      <c r="B147" s="114"/>
      <c r="C147" s="114"/>
      <c r="D147" s="115"/>
      <c r="E147" s="115"/>
      <c r="F147" s="117"/>
    </row>
    <row r="148">
      <c r="B148" s="114"/>
      <c r="C148" s="114"/>
      <c r="D148" s="115"/>
      <c r="E148" s="115"/>
      <c r="F148" s="117"/>
    </row>
    <row r="149">
      <c r="B149" s="114"/>
      <c r="C149" s="114"/>
      <c r="D149" s="115"/>
      <c r="E149" s="115"/>
      <c r="F149" s="117"/>
    </row>
    <row r="150">
      <c r="B150" s="114"/>
      <c r="C150" s="114"/>
      <c r="D150" s="115"/>
      <c r="E150" s="115"/>
      <c r="F150" s="117"/>
    </row>
    <row r="151">
      <c r="B151" s="114"/>
      <c r="C151" s="114"/>
      <c r="D151" s="115"/>
      <c r="E151" s="115"/>
      <c r="F151" s="117"/>
    </row>
    <row r="152">
      <c r="B152" s="114"/>
      <c r="C152" s="114"/>
      <c r="D152" s="115"/>
      <c r="E152" s="115"/>
      <c r="F152" s="117"/>
    </row>
    <row r="153">
      <c r="B153" s="114"/>
      <c r="C153" s="114"/>
      <c r="D153" s="115"/>
      <c r="E153" s="115"/>
      <c r="F153" s="117"/>
    </row>
    <row r="154">
      <c r="B154" s="114"/>
      <c r="C154" s="114"/>
      <c r="D154" s="115"/>
      <c r="E154" s="115"/>
      <c r="F154" s="117"/>
    </row>
    <row r="155">
      <c r="B155" s="114"/>
      <c r="C155" s="114"/>
      <c r="D155" s="115"/>
      <c r="E155" s="115"/>
      <c r="F155" s="117"/>
    </row>
    <row r="156">
      <c r="B156" s="114"/>
      <c r="C156" s="114"/>
      <c r="D156" s="115"/>
      <c r="E156" s="115"/>
      <c r="F156" s="117"/>
    </row>
    <row r="157">
      <c r="B157" s="114"/>
      <c r="C157" s="114"/>
      <c r="D157" s="115"/>
      <c r="E157" s="115"/>
      <c r="F157" s="117"/>
    </row>
    <row r="158">
      <c r="B158" s="114"/>
      <c r="C158" s="114"/>
      <c r="D158" s="115"/>
      <c r="E158" s="115"/>
      <c r="F158" s="117"/>
    </row>
    <row r="159">
      <c r="B159" s="114"/>
      <c r="C159" s="114"/>
      <c r="D159" s="115"/>
      <c r="E159" s="115"/>
      <c r="F159" s="117"/>
    </row>
    <row r="160">
      <c r="B160" s="114"/>
      <c r="C160" s="114"/>
      <c r="D160" s="115"/>
      <c r="E160" s="115"/>
      <c r="F160" s="117"/>
    </row>
    <row r="161">
      <c r="B161" s="114"/>
      <c r="C161" s="114"/>
      <c r="D161" s="115"/>
      <c r="E161" s="115"/>
      <c r="F161" s="117"/>
    </row>
    <row r="162">
      <c r="B162" s="114"/>
      <c r="C162" s="114"/>
      <c r="D162" s="115"/>
      <c r="E162" s="115"/>
      <c r="F162" s="117"/>
    </row>
    <row r="163">
      <c r="B163" s="114"/>
      <c r="C163" s="114"/>
      <c r="D163" s="115"/>
      <c r="E163" s="115"/>
      <c r="F163" s="117"/>
    </row>
    <row r="164">
      <c r="B164" s="114"/>
      <c r="C164" s="114"/>
      <c r="D164" s="115"/>
      <c r="E164" s="115"/>
      <c r="F164" s="117"/>
    </row>
    <row r="165">
      <c r="B165" s="114"/>
      <c r="C165" s="114"/>
      <c r="D165" s="115"/>
      <c r="E165" s="115"/>
      <c r="F165" s="117"/>
    </row>
    <row r="166">
      <c r="B166" s="114"/>
      <c r="C166" s="114"/>
      <c r="D166" s="115"/>
      <c r="E166" s="115"/>
      <c r="F166" s="117"/>
    </row>
    <row r="167">
      <c r="B167" s="114"/>
      <c r="C167" s="114"/>
      <c r="D167" s="115"/>
      <c r="E167" s="115"/>
      <c r="F167" s="117"/>
    </row>
    <row r="168">
      <c r="B168" s="114"/>
      <c r="C168" s="114"/>
      <c r="D168" s="115"/>
      <c r="E168" s="115"/>
      <c r="F168" s="117"/>
    </row>
    <row r="169">
      <c r="B169" s="114"/>
      <c r="C169" s="114"/>
      <c r="D169" s="115"/>
      <c r="E169" s="115"/>
      <c r="F169" s="117"/>
    </row>
    <row r="170">
      <c r="B170" s="114"/>
      <c r="C170" s="114"/>
      <c r="D170" s="115"/>
      <c r="E170" s="115"/>
      <c r="F170" s="117"/>
    </row>
    <row r="171">
      <c r="B171" s="114"/>
      <c r="C171" s="114"/>
      <c r="D171" s="115"/>
      <c r="E171" s="115"/>
      <c r="F171" s="117"/>
    </row>
    <row r="172">
      <c r="B172" s="114"/>
      <c r="C172" s="114"/>
      <c r="D172" s="115"/>
      <c r="E172" s="115"/>
      <c r="F172" s="117"/>
    </row>
    <row r="173">
      <c r="B173" s="114"/>
      <c r="C173" s="114"/>
      <c r="D173" s="115"/>
      <c r="E173" s="115"/>
      <c r="F173" s="117"/>
    </row>
    <row r="174">
      <c r="B174" s="114"/>
      <c r="C174" s="114"/>
      <c r="D174" s="115"/>
      <c r="E174" s="115"/>
      <c r="F174" s="117"/>
    </row>
    <row r="175">
      <c r="B175" s="114"/>
      <c r="C175" s="114"/>
      <c r="D175" s="115"/>
      <c r="E175" s="115"/>
      <c r="F175" s="117"/>
    </row>
    <row r="176">
      <c r="B176" s="114"/>
      <c r="C176" s="114"/>
      <c r="D176" s="115"/>
      <c r="E176" s="115"/>
      <c r="F176" s="117"/>
    </row>
    <row r="177">
      <c r="B177" s="114"/>
      <c r="C177" s="114"/>
      <c r="D177" s="115"/>
      <c r="E177" s="115"/>
      <c r="F177" s="117"/>
    </row>
    <row r="178">
      <c r="B178" s="114"/>
      <c r="C178" s="114"/>
      <c r="D178" s="115"/>
      <c r="E178" s="115"/>
      <c r="F178" s="117"/>
    </row>
    <row r="179">
      <c r="B179" s="114"/>
      <c r="C179" s="114"/>
      <c r="D179" s="115"/>
      <c r="E179" s="115"/>
      <c r="F179" s="117"/>
    </row>
    <row r="180">
      <c r="B180" s="114"/>
      <c r="C180" s="114"/>
      <c r="D180" s="115"/>
      <c r="E180" s="115"/>
      <c r="F180" s="117"/>
    </row>
    <row r="181">
      <c r="B181" s="114"/>
      <c r="C181" s="114"/>
      <c r="D181" s="115"/>
      <c r="E181" s="115"/>
      <c r="F181" s="117"/>
    </row>
    <row r="182">
      <c r="B182" s="114"/>
      <c r="C182" s="114"/>
      <c r="D182" s="115"/>
      <c r="E182" s="115"/>
      <c r="F182" s="117"/>
    </row>
    <row r="183">
      <c r="B183" s="114"/>
      <c r="C183" s="114"/>
      <c r="D183" s="115"/>
      <c r="E183" s="115"/>
      <c r="F183" s="117"/>
    </row>
    <row r="184">
      <c r="B184" s="114"/>
      <c r="C184" s="114"/>
      <c r="D184" s="115"/>
      <c r="E184" s="115"/>
      <c r="F184" s="117"/>
    </row>
    <row r="185">
      <c r="B185" s="114"/>
      <c r="C185" s="114"/>
      <c r="D185" s="115"/>
      <c r="E185" s="115"/>
      <c r="F185" s="117"/>
    </row>
    <row r="186">
      <c r="B186" s="114"/>
      <c r="C186" s="114"/>
      <c r="D186" s="115"/>
      <c r="E186" s="115"/>
      <c r="F186" s="117"/>
    </row>
    <row r="187">
      <c r="B187" s="114"/>
      <c r="C187" s="114"/>
      <c r="D187" s="115"/>
      <c r="E187" s="115"/>
      <c r="F187" s="117"/>
    </row>
    <row r="188">
      <c r="B188" s="114"/>
      <c r="C188" s="114"/>
      <c r="D188" s="115"/>
      <c r="E188" s="115"/>
      <c r="F188" s="117"/>
    </row>
    <row r="189">
      <c r="B189" s="114"/>
      <c r="C189" s="114"/>
      <c r="D189" s="115"/>
      <c r="E189" s="115"/>
      <c r="F189" s="117"/>
    </row>
    <row r="190">
      <c r="B190" s="114"/>
      <c r="C190" s="114"/>
      <c r="D190" s="115"/>
      <c r="E190" s="115"/>
      <c r="F190" s="117"/>
    </row>
    <row r="191">
      <c r="B191" s="114"/>
      <c r="C191" s="114"/>
      <c r="D191" s="115"/>
      <c r="E191" s="115"/>
      <c r="F191" s="117"/>
    </row>
    <row r="192">
      <c r="B192" s="114"/>
      <c r="C192" s="114"/>
      <c r="D192" s="115"/>
      <c r="E192" s="115"/>
      <c r="F192" s="117"/>
    </row>
    <row r="193">
      <c r="B193" s="114"/>
      <c r="C193" s="114"/>
      <c r="D193" s="115"/>
      <c r="E193" s="115"/>
      <c r="F193" s="117"/>
    </row>
    <row r="194">
      <c r="B194" s="114"/>
      <c r="C194" s="114"/>
      <c r="D194" s="115"/>
      <c r="E194" s="115"/>
      <c r="F194" s="117"/>
    </row>
    <row r="195">
      <c r="B195" s="114"/>
      <c r="C195" s="114"/>
      <c r="D195" s="115"/>
      <c r="E195" s="115"/>
      <c r="F195" s="117"/>
    </row>
    <row r="196">
      <c r="B196" s="114"/>
      <c r="C196" s="114"/>
      <c r="D196" s="115"/>
      <c r="E196" s="115"/>
      <c r="F196" s="117"/>
    </row>
    <row r="197">
      <c r="B197" s="114"/>
      <c r="C197" s="114"/>
      <c r="D197" s="115"/>
      <c r="E197" s="115"/>
      <c r="F197" s="117"/>
    </row>
    <row r="198">
      <c r="B198" s="114"/>
      <c r="C198" s="114"/>
      <c r="D198" s="115"/>
      <c r="E198" s="115"/>
      <c r="F198" s="117"/>
    </row>
    <row r="199">
      <c r="B199" s="114"/>
      <c r="C199" s="114"/>
      <c r="D199" s="115"/>
      <c r="E199" s="115"/>
      <c r="F199" s="117"/>
    </row>
    <row r="200">
      <c r="B200" s="114"/>
      <c r="C200" s="114"/>
      <c r="D200" s="115"/>
      <c r="E200" s="115"/>
      <c r="F200" s="117"/>
    </row>
    <row r="201">
      <c r="B201" s="114"/>
      <c r="C201" s="114"/>
      <c r="D201" s="115"/>
      <c r="E201" s="115"/>
      <c r="F201" s="117"/>
    </row>
    <row r="202">
      <c r="B202" s="114"/>
      <c r="C202" s="114"/>
      <c r="D202" s="115"/>
      <c r="E202" s="115"/>
      <c r="F202" s="117"/>
    </row>
    <row r="203">
      <c r="B203" s="114"/>
      <c r="C203" s="114"/>
      <c r="D203" s="115"/>
      <c r="E203" s="115"/>
      <c r="F203" s="117"/>
    </row>
    <row r="204">
      <c r="B204" s="114"/>
      <c r="C204" s="114"/>
      <c r="D204" s="115"/>
      <c r="E204" s="115"/>
      <c r="F204" s="117"/>
    </row>
    <row r="205">
      <c r="B205" s="114"/>
      <c r="C205" s="114"/>
      <c r="D205" s="115"/>
      <c r="E205" s="115"/>
      <c r="F205" s="117"/>
    </row>
    <row r="206">
      <c r="B206" s="114"/>
      <c r="C206" s="114"/>
      <c r="D206" s="115"/>
      <c r="E206" s="115"/>
      <c r="F206" s="117"/>
    </row>
    <row r="207">
      <c r="B207" s="114"/>
      <c r="C207" s="114"/>
      <c r="D207" s="115"/>
      <c r="E207" s="115"/>
      <c r="F207" s="117"/>
    </row>
    <row r="208">
      <c r="B208" s="114"/>
      <c r="C208" s="114"/>
      <c r="D208" s="115"/>
      <c r="E208" s="115"/>
      <c r="F208" s="117"/>
    </row>
    <row r="209">
      <c r="B209" s="114"/>
      <c r="C209" s="114"/>
      <c r="D209" s="115"/>
      <c r="E209" s="115"/>
      <c r="F209" s="117"/>
    </row>
    <row r="210">
      <c r="B210" s="114"/>
      <c r="C210" s="114"/>
      <c r="D210" s="115"/>
      <c r="E210" s="115"/>
      <c r="F210" s="117"/>
    </row>
    <row r="211">
      <c r="B211" s="114"/>
      <c r="C211" s="114"/>
      <c r="D211" s="115"/>
      <c r="E211" s="115"/>
      <c r="F211" s="117"/>
    </row>
    <row r="212">
      <c r="B212" s="114"/>
      <c r="C212" s="114"/>
      <c r="D212" s="115"/>
      <c r="E212" s="115"/>
      <c r="F212" s="117"/>
    </row>
    <row r="213">
      <c r="B213" s="114"/>
      <c r="C213" s="114"/>
      <c r="D213" s="115"/>
      <c r="E213" s="115"/>
      <c r="F213" s="117"/>
    </row>
    <row r="214">
      <c r="B214" s="114"/>
      <c r="C214" s="114"/>
      <c r="D214" s="115"/>
      <c r="E214" s="115"/>
      <c r="F214" s="117"/>
    </row>
    <row r="215">
      <c r="B215" s="114"/>
      <c r="C215" s="114"/>
      <c r="D215" s="115"/>
      <c r="E215" s="115"/>
      <c r="F215" s="117"/>
    </row>
    <row r="216">
      <c r="B216" s="114"/>
      <c r="C216" s="114"/>
      <c r="D216" s="115"/>
      <c r="E216" s="115"/>
      <c r="F216" s="117"/>
    </row>
    <row r="217">
      <c r="B217" s="114"/>
      <c r="C217" s="114"/>
      <c r="D217" s="115"/>
      <c r="E217" s="115"/>
      <c r="F217" s="117"/>
    </row>
    <row r="218">
      <c r="B218" s="114"/>
      <c r="C218" s="114"/>
      <c r="D218" s="115"/>
      <c r="E218" s="115"/>
      <c r="F218" s="117"/>
    </row>
    <row r="219">
      <c r="B219" s="114"/>
      <c r="C219" s="114"/>
      <c r="D219" s="115"/>
      <c r="E219" s="115"/>
      <c r="F219" s="117"/>
    </row>
    <row r="220">
      <c r="B220" s="114"/>
      <c r="C220" s="114"/>
      <c r="D220" s="115"/>
      <c r="E220" s="115"/>
      <c r="F220" s="117"/>
    </row>
    <row r="221">
      <c r="B221" s="114"/>
      <c r="C221" s="114"/>
      <c r="D221" s="115"/>
      <c r="E221" s="115"/>
      <c r="F221" s="117"/>
    </row>
    <row r="222">
      <c r="B222" s="114"/>
      <c r="C222" s="114"/>
      <c r="D222" s="115"/>
      <c r="E222" s="115"/>
      <c r="F222" s="117"/>
    </row>
    <row r="223">
      <c r="B223" s="114"/>
      <c r="C223" s="114"/>
      <c r="D223" s="115"/>
      <c r="E223" s="115"/>
      <c r="F223" s="117"/>
    </row>
    <row r="224">
      <c r="B224" s="114"/>
      <c r="C224" s="114"/>
      <c r="D224" s="115"/>
      <c r="E224" s="115"/>
      <c r="F224" s="117"/>
    </row>
    <row r="225">
      <c r="B225" s="114"/>
      <c r="C225" s="114"/>
      <c r="D225" s="115"/>
      <c r="E225" s="115"/>
      <c r="F225" s="117"/>
    </row>
    <row r="226">
      <c r="B226" s="114"/>
      <c r="C226" s="114"/>
      <c r="D226" s="115"/>
      <c r="E226" s="115"/>
      <c r="F226" s="117"/>
    </row>
    <row r="227">
      <c r="B227" s="114"/>
      <c r="C227" s="114"/>
      <c r="D227" s="115"/>
      <c r="E227" s="115"/>
      <c r="F227" s="117"/>
    </row>
    <row r="228">
      <c r="B228" s="114"/>
      <c r="C228" s="114"/>
      <c r="D228" s="115"/>
      <c r="E228" s="115"/>
      <c r="F228" s="117"/>
    </row>
    <row r="229">
      <c r="B229" s="114"/>
      <c r="C229" s="114"/>
      <c r="D229" s="115"/>
      <c r="E229" s="115"/>
      <c r="F229" s="117"/>
    </row>
    <row r="230">
      <c r="B230" s="114"/>
      <c r="C230" s="114"/>
      <c r="D230" s="115"/>
      <c r="E230" s="115"/>
      <c r="F230" s="117"/>
    </row>
    <row r="231">
      <c r="B231" s="114"/>
      <c r="C231" s="114"/>
      <c r="D231" s="115"/>
      <c r="E231" s="115"/>
      <c r="F231" s="117"/>
    </row>
    <row r="232">
      <c r="B232" s="114"/>
      <c r="C232" s="114"/>
      <c r="D232" s="115"/>
      <c r="E232" s="115"/>
      <c r="F232" s="117"/>
    </row>
    <row r="233">
      <c r="B233" s="114"/>
      <c r="C233" s="114"/>
      <c r="D233" s="115"/>
      <c r="E233" s="115"/>
      <c r="F233" s="117"/>
    </row>
    <row r="234">
      <c r="B234" s="114"/>
      <c r="C234" s="114"/>
      <c r="D234" s="115"/>
      <c r="E234" s="115"/>
      <c r="F234" s="117"/>
    </row>
    <row r="235">
      <c r="B235" s="114"/>
      <c r="C235" s="114"/>
      <c r="D235" s="115"/>
      <c r="E235" s="115"/>
      <c r="F235" s="117"/>
    </row>
    <row r="236">
      <c r="B236" s="114"/>
      <c r="C236" s="114"/>
      <c r="D236" s="115"/>
      <c r="E236" s="115"/>
      <c r="F236" s="117"/>
    </row>
    <row r="237">
      <c r="B237" s="114"/>
      <c r="C237" s="114"/>
      <c r="D237" s="115"/>
      <c r="E237" s="115"/>
      <c r="F237" s="117"/>
    </row>
    <row r="238">
      <c r="B238" s="114"/>
      <c r="C238" s="114"/>
      <c r="D238" s="115"/>
      <c r="E238" s="115"/>
      <c r="F238" s="117"/>
    </row>
    <row r="239">
      <c r="B239" s="114"/>
      <c r="C239" s="114"/>
      <c r="D239" s="115"/>
      <c r="E239" s="115"/>
      <c r="F239" s="117"/>
    </row>
    <row r="240">
      <c r="B240" s="114"/>
      <c r="C240" s="114"/>
      <c r="D240" s="115"/>
      <c r="E240" s="115"/>
      <c r="F240" s="117"/>
    </row>
    <row r="241">
      <c r="F241" s="119"/>
    </row>
    <row r="242">
      <c r="F242" s="119"/>
    </row>
    <row r="243">
      <c r="F243" s="119"/>
    </row>
    <row r="244">
      <c r="F244" s="119"/>
    </row>
    <row r="245">
      <c r="F245" s="119"/>
    </row>
    <row r="246">
      <c r="F246" s="119"/>
    </row>
    <row r="247">
      <c r="F247" s="119"/>
    </row>
    <row r="248">
      <c r="F248" s="119"/>
    </row>
    <row r="249">
      <c r="F249" s="119"/>
    </row>
    <row r="250">
      <c r="F250" s="119"/>
    </row>
    <row r="251">
      <c r="F251" s="119"/>
    </row>
    <row r="252">
      <c r="F252" s="119"/>
    </row>
    <row r="253">
      <c r="F253" s="119"/>
    </row>
    <row r="254">
      <c r="F254" s="119"/>
    </row>
    <row r="255">
      <c r="F255" s="119"/>
    </row>
    <row r="256">
      <c r="F256" s="119"/>
    </row>
    <row r="257">
      <c r="F257" s="119"/>
    </row>
    <row r="258">
      <c r="F258" s="119"/>
    </row>
    <row r="259">
      <c r="F259" s="119"/>
    </row>
    <row r="260">
      <c r="F260" s="119"/>
    </row>
    <row r="261">
      <c r="F261" s="119"/>
    </row>
    <row r="262">
      <c r="F262" s="119"/>
    </row>
    <row r="263">
      <c r="F263" s="119"/>
    </row>
    <row r="264">
      <c r="F264" s="119"/>
    </row>
    <row r="265">
      <c r="F265" s="119"/>
    </row>
    <row r="266">
      <c r="F266" s="119"/>
    </row>
    <row r="267">
      <c r="F267" s="119"/>
    </row>
    <row r="268">
      <c r="F268" s="119"/>
    </row>
    <row r="269">
      <c r="F269" s="119"/>
    </row>
    <row r="270">
      <c r="F270" s="119"/>
    </row>
    <row r="271">
      <c r="F271" s="119"/>
    </row>
    <row r="272">
      <c r="F272" s="119"/>
    </row>
    <row r="273">
      <c r="F273" s="119"/>
    </row>
    <row r="274">
      <c r="F274" s="119"/>
    </row>
    <row r="275">
      <c r="F275" s="119"/>
    </row>
    <row r="276">
      <c r="F276" s="119"/>
    </row>
    <row r="277">
      <c r="F277" s="119"/>
    </row>
    <row r="278">
      <c r="F278" s="119"/>
    </row>
    <row r="279">
      <c r="F279" s="119"/>
    </row>
    <row r="280">
      <c r="F280" s="119"/>
    </row>
    <row r="281">
      <c r="F281" s="119"/>
    </row>
    <row r="282">
      <c r="F282" s="119"/>
    </row>
    <row r="283">
      <c r="F283" s="119"/>
    </row>
    <row r="284">
      <c r="F284" s="119"/>
    </row>
    <row r="285">
      <c r="F285" s="119"/>
    </row>
    <row r="286">
      <c r="F286" s="119"/>
    </row>
    <row r="287">
      <c r="F287" s="119"/>
    </row>
    <row r="288">
      <c r="F288" s="119"/>
    </row>
    <row r="289">
      <c r="F289" s="119"/>
    </row>
    <row r="290">
      <c r="F290" s="119"/>
    </row>
    <row r="291">
      <c r="F291" s="119"/>
    </row>
    <row r="292">
      <c r="F292" s="119"/>
    </row>
    <row r="293">
      <c r="F293" s="119"/>
    </row>
    <row r="294">
      <c r="F294" s="119"/>
    </row>
    <row r="295">
      <c r="F295" s="119"/>
    </row>
    <row r="296">
      <c r="F296" s="119"/>
    </row>
    <row r="297">
      <c r="F297" s="119"/>
    </row>
    <row r="298">
      <c r="F298" s="119"/>
    </row>
    <row r="299">
      <c r="F299" s="119"/>
    </row>
    <row r="300">
      <c r="F300" s="119"/>
    </row>
    <row r="301">
      <c r="F301" s="119"/>
    </row>
    <row r="302">
      <c r="F302" s="119"/>
    </row>
    <row r="303">
      <c r="F303" s="119"/>
    </row>
    <row r="304">
      <c r="F304" s="119"/>
    </row>
    <row r="305">
      <c r="F305" s="119"/>
    </row>
    <row r="306">
      <c r="F306" s="119"/>
    </row>
    <row r="307">
      <c r="F307" s="119"/>
    </row>
    <row r="308">
      <c r="F308" s="119"/>
    </row>
    <row r="309">
      <c r="F309" s="119"/>
    </row>
    <row r="310">
      <c r="F310" s="119"/>
    </row>
    <row r="311">
      <c r="F311" s="119"/>
    </row>
    <row r="312">
      <c r="F312" s="119"/>
    </row>
    <row r="313">
      <c r="F313" s="119"/>
    </row>
    <row r="314">
      <c r="F314" s="119"/>
    </row>
    <row r="315">
      <c r="F315" s="119"/>
    </row>
    <row r="316">
      <c r="F316" s="119"/>
    </row>
    <row r="317">
      <c r="F317" s="119"/>
    </row>
    <row r="318">
      <c r="F318" s="119"/>
    </row>
    <row r="319">
      <c r="F319" s="119"/>
    </row>
    <row r="320">
      <c r="F320" s="119"/>
    </row>
    <row r="321">
      <c r="F321" s="119"/>
    </row>
    <row r="322">
      <c r="F322" s="119"/>
    </row>
    <row r="323">
      <c r="F323" s="119"/>
    </row>
    <row r="324">
      <c r="F324" s="119"/>
    </row>
    <row r="325">
      <c r="F325" s="119"/>
    </row>
    <row r="326">
      <c r="F326" s="119"/>
    </row>
    <row r="327">
      <c r="F327" s="119"/>
    </row>
    <row r="328">
      <c r="F328" s="119"/>
    </row>
    <row r="329">
      <c r="F329" s="119"/>
    </row>
    <row r="330">
      <c r="F330" s="119"/>
    </row>
    <row r="331">
      <c r="F331" s="119"/>
    </row>
    <row r="332">
      <c r="F332" s="119"/>
    </row>
    <row r="333">
      <c r="F333" s="119"/>
    </row>
    <row r="334">
      <c r="F334" s="119"/>
    </row>
    <row r="335">
      <c r="F335" s="119"/>
    </row>
    <row r="336">
      <c r="F336" s="119"/>
    </row>
    <row r="337">
      <c r="F337" s="119"/>
    </row>
    <row r="338">
      <c r="F338" s="119"/>
    </row>
    <row r="339">
      <c r="F339" s="119"/>
    </row>
    <row r="340">
      <c r="F340" s="119"/>
    </row>
    <row r="341">
      <c r="F341" s="119"/>
    </row>
    <row r="342">
      <c r="F342" s="119"/>
    </row>
    <row r="343">
      <c r="F343" s="119"/>
    </row>
    <row r="344">
      <c r="F344" s="119"/>
    </row>
    <row r="345">
      <c r="F345" s="119"/>
    </row>
    <row r="346">
      <c r="F346" s="119"/>
    </row>
    <row r="347">
      <c r="F347" s="119"/>
    </row>
    <row r="348">
      <c r="F348" s="119"/>
    </row>
    <row r="349">
      <c r="F349" s="119"/>
    </row>
    <row r="350">
      <c r="F350" s="119"/>
    </row>
    <row r="351">
      <c r="F351" s="119"/>
    </row>
    <row r="352">
      <c r="F352" s="119"/>
    </row>
    <row r="353">
      <c r="F353" s="119"/>
    </row>
    <row r="354">
      <c r="F354" s="119"/>
    </row>
    <row r="355">
      <c r="F355" s="119"/>
    </row>
    <row r="356">
      <c r="F356" s="119"/>
    </row>
    <row r="357">
      <c r="F357" s="119"/>
    </row>
    <row r="358">
      <c r="F358" s="119"/>
    </row>
    <row r="359">
      <c r="F359" s="119"/>
    </row>
    <row r="360">
      <c r="F360" s="119"/>
    </row>
    <row r="361">
      <c r="F361" s="119"/>
    </row>
    <row r="362">
      <c r="F362" s="119"/>
    </row>
    <row r="363">
      <c r="F363" s="119"/>
    </row>
    <row r="364">
      <c r="F364" s="119"/>
    </row>
    <row r="365">
      <c r="F365" s="119"/>
    </row>
    <row r="366">
      <c r="F366" s="119"/>
    </row>
    <row r="367">
      <c r="F367" s="119"/>
    </row>
    <row r="368">
      <c r="F368" s="119"/>
    </row>
    <row r="369">
      <c r="F369" s="119"/>
    </row>
    <row r="370">
      <c r="F370" s="119"/>
    </row>
    <row r="371">
      <c r="F371" s="119"/>
    </row>
    <row r="372">
      <c r="F372" s="119"/>
    </row>
    <row r="373">
      <c r="F373" s="119"/>
    </row>
    <row r="374">
      <c r="F374" s="119"/>
    </row>
    <row r="375">
      <c r="F375" s="119"/>
    </row>
    <row r="376">
      <c r="F376" s="119"/>
    </row>
    <row r="377">
      <c r="F377" s="119"/>
    </row>
    <row r="378">
      <c r="F378" s="119"/>
    </row>
    <row r="379">
      <c r="F379" s="119"/>
    </row>
    <row r="380">
      <c r="F380" s="119"/>
    </row>
    <row r="381">
      <c r="F381" s="119"/>
    </row>
    <row r="382">
      <c r="F382" s="119"/>
    </row>
    <row r="383">
      <c r="F383" s="119"/>
    </row>
    <row r="384">
      <c r="F384" s="119"/>
    </row>
    <row r="385">
      <c r="F385" s="119"/>
    </row>
    <row r="386">
      <c r="F386" s="119"/>
    </row>
    <row r="387">
      <c r="F387" s="119"/>
    </row>
    <row r="388">
      <c r="F388" s="119"/>
    </row>
    <row r="389">
      <c r="F389" s="119"/>
    </row>
    <row r="390">
      <c r="F390" s="119"/>
    </row>
    <row r="391">
      <c r="F391" s="119"/>
    </row>
    <row r="392">
      <c r="F392" s="119"/>
    </row>
    <row r="393">
      <c r="F393" s="119"/>
    </row>
    <row r="394">
      <c r="F394" s="119"/>
    </row>
    <row r="395">
      <c r="F395" s="119"/>
    </row>
    <row r="396">
      <c r="F396" s="119"/>
    </row>
    <row r="397">
      <c r="F397" s="119"/>
    </row>
    <row r="398">
      <c r="F398" s="119"/>
    </row>
    <row r="399">
      <c r="F399" s="119"/>
    </row>
    <row r="400">
      <c r="F400" s="119"/>
    </row>
    <row r="401">
      <c r="F401" s="119"/>
    </row>
    <row r="402">
      <c r="F402" s="119"/>
    </row>
    <row r="403">
      <c r="F403" s="119"/>
    </row>
    <row r="404">
      <c r="F404" s="119"/>
    </row>
    <row r="405">
      <c r="F405" s="119"/>
    </row>
    <row r="406">
      <c r="F406" s="119"/>
    </row>
    <row r="407">
      <c r="F407" s="119"/>
    </row>
    <row r="408">
      <c r="F408" s="119"/>
    </row>
    <row r="409">
      <c r="F409" s="119"/>
    </row>
    <row r="410">
      <c r="F410" s="119"/>
    </row>
    <row r="411">
      <c r="F411" s="119"/>
    </row>
    <row r="412">
      <c r="F412" s="119"/>
    </row>
    <row r="413">
      <c r="F413" s="119"/>
    </row>
    <row r="414">
      <c r="F414" s="119"/>
    </row>
    <row r="415">
      <c r="F415" s="119"/>
    </row>
    <row r="416">
      <c r="F416" s="119"/>
    </row>
    <row r="417">
      <c r="F417" s="119"/>
    </row>
    <row r="418">
      <c r="F418" s="119"/>
    </row>
    <row r="419">
      <c r="F419" s="119"/>
    </row>
    <row r="420">
      <c r="F420" s="119"/>
    </row>
    <row r="421">
      <c r="F421" s="119"/>
    </row>
    <row r="422">
      <c r="F422" s="119"/>
    </row>
    <row r="423">
      <c r="F423" s="119"/>
    </row>
    <row r="424">
      <c r="F424" s="119"/>
    </row>
    <row r="425">
      <c r="F425" s="119"/>
    </row>
    <row r="426">
      <c r="F426" s="119"/>
    </row>
    <row r="427">
      <c r="F427" s="119"/>
    </row>
    <row r="428">
      <c r="F428" s="119"/>
    </row>
    <row r="429">
      <c r="F429" s="119"/>
    </row>
    <row r="430">
      <c r="F430" s="119"/>
    </row>
    <row r="431">
      <c r="F431" s="119"/>
    </row>
    <row r="432">
      <c r="F432" s="119"/>
    </row>
    <row r="433">
      <c r="F433" s="119"/>
    </row>
    <row r="434">
      <c r="F434" s="119"/>
    </row>
    <row r="435">
      <c r="F435" s="119"/>
    </row>
    <row r="436">
      <c r="F436" s="119"/>
    </row>
    <row r="437">
      <c r="F437" s="119"/>
    </row>
    <row r="438">
      <c r="F438" s="119"/>
    </row>
    <row r="439">
      <c r="F439" s="119"/>
    </row>
    <row r="440">
      <c r="F440" s="119"/>
    </row>
    <row r="441">
      <c r="F441" s="119"/>
    </row>
    <row r="442">
      <c r="F442" s="119"/>
    </row>
    <row r="443">
      <c r="F443" s="119"/>
    </row>
    <row r="444">
      <c r="F444" s="119"/>
    </row>
    <row r="445">
      <c r="F445" s="119"/>
    </row>
    <row r="446">
      <c r="F446" s="119"/>
    </row>
    <row r="447">
      <c r="F447" s="119"/>
    </row>
    <row r="448">
      <c r="F448" s="119"/>
    </row>
    <row r="449">
      <c r="F449" s="119"/>
    </row>
    <row r="450">
      <c r="F450" s="119"/>
    </row>
    <row r="451">
      <c r="F451" s="119"/>
    </row>
    <row r="452">
      <c r="F452" s="119"/>
    </row>
    <row r="453">
      <c r="F453" s="119"/>
    </row>
    <row r="454">
      <c r="F454" s="119"/>
    </row>
    <row r="455">
      <c r="F455" s="119"/>
    </row>
    <row r="456">
      <c r="F456" s="119"/>
    </row>
    <row r="457">
      <c r="F457" s="119"/>
    </row>
    <row r="458">
      <c r="F458" s="119"/>
    </row>
    <row r="459">
      <c r="F459" s="119"/>
    </row>
    <row r="460">
      <c r="F460" s="119"/>
    </row>
    <row r="461">
      <c r="F461" s="119"/>
    </row>
    <row r="462">
      <c r="F462" s="119"/>
    </row>
    <row r="463">
      <c r="F463" s="119"/>
    </row>
    <row r="464">
      <c r="F464" s="119"/>
    </row>
    <row r="465">
      <c r="F465" s="119"/>
    </row>
    <row r="466">
      <c r="F466" s="119"/>
    </row>
    <row r="467">
      <c r="F467" s="119"/>
    </row>
    <row r="468">
      <c r="F468" s="119"/>
    </row>
    <row r="469">
      <c r="F469" s="119"/>
    </row>
    <row r="470">
      <c r="F470" s="119"/>
    </row>
    <row r="471">
      <c r="F471" s="119"/>
    </row>
    <row r="472">
      <c r="F472" s="119"/>
    </row>
    <row r="473">
      <c r="F473" s="119"/>
    </row>
    <row r="474">
      <c r="F474" s="119"/>
    </row>
    <row r="475">
      <c r="F475" s="119"/>
    </row>
    <row r="476">
      <c r="F476" s="119"/>
    </row>
    <row r="477">
      <c r="F477" s="119"/>
    </row>
    <row r="478">
      <c r="F478" s="119"/>
    </row>
    <row r="479">
      <c r="F479" s="119"/>
    </row>
    <row r="480">
      <c r="F480" s="119"/>
    </row>
    <row r="481">
      <c r="F481" s="119"/>
    </row>
    <row r="482">
      <c r="F482" s="119"/>
    </row>
    <row r="483">
      <c r="F483" s="119"/>
    </row>
    <row r="484">
      <c r="F484" s="119"/>
    </row>
    <row r="485">
      <c r="F485" s="119"/>
    </row>
    <row r="486">
      <c r="F486" s="119"/>
    </row>
    <row r="487">
      <c r="F487" s="119"/>
    </row>
    <row r="488">
      <c r="F488" s="119"/>
    </row>
    <row r="489">
      <c r="F489" s="119"/>
    </row>
    <row r="490">
      <c r="F490" s="119"/>
    </row>
    <row r="491">
      <c r="F491" s="119"/>
    </row>
    <row r="492">
      <c r="F492" s="119"/>
    </row>
    <row r="493">
      <c r="F493" s="119"/>
    </row>
    <row r="494">
      <c r="F494" s="119"/>
    </row>
    <row r="495">
      <c r="F495" s="119"/>
    </row>
    <row r="496">
      <c r="F496" s="119"/>
    </row>
    <row r="497">
      <c r="F497" s="119"/>
    </row>
    <row r="498">
      <c r="F498" s="119"/>
    </row>
    <row r="499">
      <c r="F499" s="119"/>
    </row>
    <row r="500">
      <c r="F500" s="119"/>
    </row>
    <row r="501">
      <c r="F501" s="119"/>
    </row>
    <row r="502">
      <c r="F502" s="119"/>
    </row>
    <row r="503">
      <c r="F503" s="119"/>
    </row>
    <row r="504">
      <c r="F504" s="119"/>
    </row>
    <row r="505">
      <c r="F505" s="119"/>
    </row>
    <row r="506">
      <c r="F506" s="119"/>
    </row>
    <row r="507">
      <c r="F507" s="119"/>
    </row>
    <row r="508">
      <c r="F508" s="119"/>
    </row>
    <row r="509">
      <c r="F509" s="119"/>
    </row>
    <row r="510">
      <c r="F510" s="119"/>
    </row>
    <row r="511">
      <c r="F511" s="119"/>
    </row>
    <row r="512">
      <c r="F512" s="119"/>
    </row>
    <row r="513">
      <c r="F513" s="119"/>
    </row>
    <row r="514">
      <c r="F514" s="119"/>
    </row>
    <row r="515">
      <c r="F515" s="119"/>
    </row>
    <row r="516">
      <c r="F516" s="119"/>
    </row>
    <row r="517">
      <c r="F517" s="119"/>
    </row>
    <row r="518">
      <c r="F518" s="119"/>
    </row>
    <row r="519">
      <c r="F519" s="119"/>
    </row>
    <row r="520">
      <c r="F520" s="119"/>
    </row>
    <row r="521">
      <c r="F521" s="119"/>
    </row>
    <row r="522">
      <c r="F522" s="119"/>
    </row>
    <row r="523">
      <c r="F523" s="119"/>
    </row>
    <row r="524">
      <c r="F524" s="119"/>
    </row>
    <row r="525">
      <c r="F525" s="119"/>
    </row>
    <row r="526">
      <c r="F526" s="119"/>
    </row>
    <row r="527">
      <c r="F527" s="119"/>
    </row>
    <row r="528">
      <c r="F528" s="119"/>
    </row>
    <row r="529">
      <c r="F529" s="119"/>
    </row>
    <row r="530">
      <c r="F530" s="119"/>
    </row>
    <row r="531">
      <c r="F531" s="119"/>
    </row>
    <row r="532">
      <c r="F532" s="119"/>
    </row>
    <row r="533">
      <c r="F533" s="119"/>
    </row>
    <row r="534">
      <c r="F534" s="119"/>
    </row>
    <row r="535">
      <c r="F535" s="119"/>
    </row>
    <row r="536">
      <c r="F536" s="119"/>
    </row>
    <row r="537">
      <c r="F537" s="119"/>
    </row>
    <row r="538">
      <c r="F538" s="119"/>
    </row>
    <row r="539">
      <c r="F539" s="119"/>
    </row>
    <row r="540">
      <c r="F540" s="119"/>
    </row>
    <row r="541">
      <c r="F541" s="119"/>
    </row>
    <row r="542">
      <c r="F542" s="119"/>
    </row>
    <row r="543">
      <c r="F543" s="119"/>
    </row>
    <row r="544">
      <c r="F544" s="119"/>
    </row>
    <row r="545">
      <c r="F545" s="119"/>
    </row>
    <row r="546">
      <c r="F546" s="119"/>
    </row>
    <row r="547">
      <c r="F547" s="119"/>
    </row>
    <row r="548">
      <c r="F548" s="119"/>
    </row>
    <row r="549">
      <c r="F549" s="119"/>
    </row>
    <row r="550">
      <c r="F550" s="119"/>
    </row>
    <row r="551">
      <c r="F551" s="119"/>
    </row>
    <row r="552">
      <c r="F552" s="119"/>
    </row>
    <row r="553">
      <c r="F553" s="119"/>
    </row>
    <row r="554">
      <c r="F554" s="119"/>
    </row>
    <row r="555">
      <c r="F555" s="119"/>
    </row>
    <row r="556">
      <c r="F556" s="119"/>
    </row>
    <row r="557">
      <c r="F557" s="119"/>
    </row>
    <row r="558">
      <c r="F558" s="119"/>
    </row>
    <row r="559">
      <c r="F559" s="119"/>
    </row>
    <row r="560">
      <c r="F560" s="119"/>
    </row>
    <row r="561">
      <c r="F561" s="119"/>
    </row>
    <row r="562">
      <c r="F562" s="119"/>
    </row>
    <row r="563">
      <c r="F563" s="119"/>
    </row>
    <row r="564">
      <c r="F564" s="119"/>
    </row>
    <row r="565">
      <c r="F565" s="119"/>
    </row>
    <row r="566">
      <c r="F566" s="119"/>
    </row>
    <row r="567">
      <c r="F567" s="119"/>
    </row>
    <row r="568">
      <c r="F568" s="119"/>
    </row>
    <row r="569">
      <c r="F569" s="119"/>
    </row>
    <row r="570">
      <c r="F570" s="119"/>
    </row>
    <row r="571">
      <c r="F571" s="119"/>
    </row>
    <row r="572">
      <c r="F572" s="119"/>
    </row>
    <row r="573">
      <c r="F573" s="119"/>
    </row>
    <row r="574">
      <c r="F574" s="119"/>
    </row>
    <row r="575">
      <c r="F575" s="119"/>
    </row>
    <row r="576">
      <c r="F576" s="119"/>
    </row>
    <row r="577">
      <c r="F577" s="119"/>
    </row>
    <row r="578">
      <c r="F578" s="119"/>
    </row>
    <row r="579">
      <c r="F579" s="119"/>
    </row>
    <row r="580">
      <c r="F580" s="119"/>
    </row>
    <row r="581">
      <c r="F581" s="119"/>
    </row>
    <row r="582">
      <c r="F582" s="119"/>
    </row>
    <row r="583">
      <c r="F583" s="119"/>
    </row>
    <row r="584">
      <c r="F584" s="119"/>
    </row>
    <row r="585">
      <c r="F585" s="119"/>
    </row>
    <row r="586">
      <c r="F586" s="119"/>
    </row>
    <row r="587">
      <c r="F587" s="119"/>
    </row>
    <row r="588">
      <c r="F588" s="119"/>
    </row>
    <row r="589">
      <c r="F589" s="119"/>
    </row>
    <row r="590">
      <c r="F590" s="119"/>
    </row>
    <row r="591">
      <c r="F591" s="119"/>
    </row>
    <row r="592">
      <c r="F592" s="119"/>
    </row>
    <row r="593">
      <c r="F593" s="119"/>
    </row>
    <row r="594">
      <c r="F594" s="119"/>
    </row>
    <row r="595">
      <c r="F595" s="119"/>
    </row>
    <row r="596">
      <c r="F596" s="119"/>
    </row>
    <row r="597">
      <c r="F597" s="119"/>
    </row>
    <row r="598">
      <c r="F598" s="119"/>
    </row>
    <row r="599">
      <c r="F599" s="119"/>
    </row>
    <row r="600">
      <c r="F600" s="119"/>
    </row>
    <row r="601">
      <c r="F601" s="119"/>
    </row>
    <row r="602">
      <c r="F602" s="119"/>
    </row>
    <row r="603">
      <c r="F603" s="119"/>
    </row>
    <row r="604">
      <c r="F604" s="119"/>
    </row>
    <row r="605">
      <c r="F605" s="119"/>
    </row>
    <row r="606">
      <c r="F606" s="119"/>
    </row>
    <row r="607">
      <c r="F607" s="119"/>
    </row>
    <row r="608">
      <c r="F608" s="119"/>
    </row>
    <row r="609">
      <c r="F609" s="119"/>
    </row>
    <row r="610">
      <c r="F610" s="119"/>
    </row>
    <row r="611">
      <c r="F611" s="119"/>
    </row>
    <row r="612">
      <c r="F612" s="119"/>
    </row>
    <row r="613">
      <c r="F613" s="119"/>
    </row>
    <row r="614">
      <c r="F614" s="119"/>
    </row>
    <row r="615">
      <c r="F615" s="119"/>
    </row>
    <row r="616">
      <c r="F616" s="119"/>
    </row>
    <row r="617">
      <c r="F617" s="119"/>
    </row>
    <row r="618">
      <c r="F618" s="119"/>
    </row>
    <row r="619">
      <c r="F619" s="119"/>
    </row>
    <row r="620">
      <c r="F620" s="119"/>
    </row>
    <row r="621">
      <c r="F621" s="119"/>
    </row>
    <row r="622">
      <c r="F622" s="119"/>
    </row>
    <row r="623">
      <c r="F623" s="119"/>
    </row>
    <row r="624">
      <c r="F624" s="119"/>
    </row>
    <row r="625">
      <c r="F625" s="119"/>
    </row>
    <row r="626">
      <c r="F626" s="119"/>
    </row>
    <row r="627">
      <c r="F627" s="119"/>
    </row>
    <row r="628">
      <c r="F628" s="119"/>
    </row>
    <row r="629">
      <c r="F629" s="119"/>
    </row>
    <row r="630">
      <c r="F630" s="119"/>
    </row>
    <row r="631">
      <c r="F631" s="119"/>
    </row>
    <row r="632">
      <c r="F632" s="119"/>
    </row>
    <row r="633">
      <c r="F633" s="119"/>
    </row>
    <row r="634">
      <c r="F634" s="119"/>
    </row>
    <row r="635">
      <c r="F635" s="119"/>
    </row>
    <row r="636">
      <c r="F636" s="119"/>
    </row>
    <row r="637">
      <c r="F637" s="119"/>
    </row>
    <row r="638">
      <c r="F638" s="119"/>
    </row>
    <row r="639">
      <c r="F639" s="119"/>
    </row>
    <row r="640">
      <c r="F640" s="119"/>
    </row>
    <row r="641">
      <c r="F641" s="119"/>
    </row>
    <row r="642">
      <c r="F642" s="119"/>
    </row>
    <row r="643">
      <c r="F643" s="119"/>
    </row>
    <row r="644">
      <c r="F644" s="119"/>
    </row>
    <row r="645">
      <c r="F645" s="119"/>
    </row>
    <row r="646">
      <c r="F646" s="119"/>
    </row>
    <row r="647">
      <c r="F647" s="119"/>
    </row>
    <row r="648">
      <c r="F648" s="119"/>
    </row>
    <row r="649">
      <c r="F649" s="119"/>
    </row>
    <row r="650">
      <c r="F650" s="119"/>
    </row>
    <row r="651">
      <c r="F651" s="119"/>
    </row>
    <row r="652">
      <c r="F652" s="119"/>
    </row>
    <row r="653">
      <c r="F653" s="119"/>
    </row>
    <row r="654">
      <c r="F654" s="119"/>
    </row>
    <row r="655">
      <c r="F655" s="119"/>
    </row>
    <row r="656">
      <c r="F656" s="119"/>
    </row>
    <row r="657">
      <c r="F657" s="119"/>
    </row>
    <row r="658">
      <c r="F658" s="119"/>
    </row>
    <row r="659">
      <c r="F659" s="119"/>
    </row>
    <row r="660">
      <c r="F660" s="119"/>
    </row>
    <row r="661">
      <c r="F661" s="119"/>
    </row>
    <row r="662">
      <c r="F662" s="119"/>
    </row>
    <row r="663">
      <c r="F663" s="119"/>
    </row>
    <row r="664">
      <c r="F664" s="119"/>
    </row>
    <row r="665">
      <c r="F665" s="119"/>
    </row>
    <row r="666">
      <c r="F666" s="119"/>
    </row>
    <row r="667">
      <c r="F667" s="119"/>
    </row>
    <row r="668">
      <c r="F668" s="119"/>
    </row>
    <row r="669">
      <c r="F669" s="119"/>
    </row>
    <row r="670">
      <c r="F670" s="119"/>
    </row>
    <row r="671">
      <c r="F671" s="119"/>
    </row>
    <row r="672">
      <c r="F672" s="119"/>
    </row>
    <row r="673">
      <c r="F673" s="119"/>
    </row>
    <row r="674">
      <c r="F674" s="119"/>
    </row>
    <row r="675">
      <c r="F675" s="119"/>
    </row>
    <row r="676">
      <c r="F676" s="119"/>
    </row>
    <row r="677">
      <c r="F677" s="119"/>
    </row>
    <row r="678">
      <c r="F678" s="119"/>
    </row>
    <row r="679">
      <c r="F679" s="119"/>
    </row>
    <row r="680">
      <c r="F680" s="119"/>
    </row>
    <row r="681">
      <c r="F681" s="119"/>
    </row>
    <row r="682">
      <c r="F682" s="119"/>
    </row>
    <row r="683">
      <c r="F683" s="119"/>
    </row>
    <row r="684">
      <c r="F684" s="119"/>
    </row>
    <row r="685">
      <c r="F685" s="119"/>
    </row>
    <row r="686">
      <c r="F686" s="119"/>
    </row>
    <row r="687">
      <c r="F687" s="119"/>
    </row>
    <row r="688">
      <c r="F688" s="119"/>
    </row>
    <row r="689">
      <c r="F689" s="119"/>
    </row>
    <row r="690">
      <c r="F690" s="119"/>
    </row>
    <row r="691">
      <c r="F691" s="119"/>
    </row>
    <row r="692">
      <c r="F692" s="119"/>
    </row>
    <row r="693">
      <c r="F693" s="119"/>
    </row>
    <row r="694">
      <c r="F694" s="119"/>
    </row>
    <row r="695">
      <c r="F695" s="119"/>
    </row>
    <row r="696">
      <c r="F696" s="119"/>
    </row>
    <row r="697">
      <c r="F697" s="119"/>
    </row>
    <row r="698">
      <c r="F698" s="119"/>
    </row>
    <row r="699">
      <c r="F699" s="119"/>
    </row>
    <row r="700">
      <c r="F700" s="119"/>
    </row>
    <row r="701">
      <c r="F701" s="119"/>
    </row>
    <row r="702">
      <c r="F702" s="119"/>
    </row>
    <row r="703">
      <c r="F703" s="119"/>
    </row>
    <row r="704">
      <c r="F704" s="119"/>
    </row>
    <row r="705">
      <c r="F705" s="119"/>
    </row>
    <row r="706">
      <c r="F706" s="119"/>
    </row>
    <row r="707">
      <c r="F707" s="119"/>
    </row>
    <row r="708">
      <c r="F708" s="119"/>
    </row>
    <row r="709">
      <c r="F709" s="119"/>
    </row>
    <row r="710">
      <c r="F710" s="119"/>
    </row>
    <row r="711">
      <c r="F711" s="119"/>
    </row>
    <row r="712">
      <c r="F712" s="119"/>
    </row>
    <row r="713">
      <c r="F713" s="119"/>
    </row>
    <row r="714">
      <c r="F714" s="119"/>
    </row>
    <row r="715">
      <c r="F715" s="119"/>
    </row>
    <row r="716">
      <c r="F716" s="119"/>
    </row>
    <row r="717">
      <c r="F717" s="119"/>
    </row>
    <row r="718">
      <c r="F718" s="119"/>
    </row>
    <row r="719">
      <c r="F719" s="119"/>
    </row>
    <row r="720">
      <c r="F720" s="119"/>
    </row>
    <row r="721">
      <c r="F721" s="119"/>
    </row>
    <row r="722">
      <c r="F722" s="119"/>
    </row>
    <row r="723">
      <c r="F723" s="119"/>
    </row>
    <row r="724">
      <c r="F724" s="119"/>
    </row>
    <row r="725">
      <c r="F725" s="119"/>
    </row>
    <row r="726">
      <c r="F726" s="119"/>
    </row>
    <row r="727">
      <c r="F727" s="119"/>
    </row>
    <row r="728">
      <c r="F728" s="119"/>
    </row>
    <row r="729">
      <c r="F729" s="119"/>
    </row>
    <row r="730">
      <c r="F730" s="119"/>
    </row>
    <row r="731">
      <c r="F731" s="119"/>
    </row>
    <row r="732">
      <c r="F732" s="119"/>
    </row>
    <row r="733">
      <c r="F733" s="119"/>
    </row>
    <row r="734">
      <c r="F734" s="119"/>
    </row>
    <row r="735">
      <c r="F735" s="119"/>
    </row>
    <row r="736">
      <c r="F736" s="119"/>
    </row>
    <row r="737">
      <c r="F737" s="119"/>
    </row>
    <row r="738">
      <c r="F738" s="119"/>
    </row>
    <row r="739">
      <c r="F739" s="119"/>
    </row>
    <row r="740">
      <c r="F740" s="119"/>
    </row>
    <row r="741">
      <c r="F741" s="119"/>
    </row>
    <row r="742">
      <c r="F742" s="119"/>
    </row>
    <row r="743">
      <c r="F743" s="119"/>
    </row>
    <row r="744">
      <c r="F744" s="119"/>
    </row>
    <row r="745">
      <c r="F745" s="119"/>
    </row>
    <row r="746">
      <c r="F746" s="119"/>
    </row>
    <row r="747">
      <c r="F747" s="119"/>
    </row>
    <row r="748">
      <c r="F748" s="119"/>
    </row>
    <row r="749">
      <c r="F749" s="119"/>
    </row>
    <row r="750">
      <c r="F750" s="119"/>
    </row>
    <row r="751">
      <c r="F751" s="119"/>
    </row>
    <row r="752">
      <c r="F752" s="119"/>
    </row>
    <row r="753">
      <c r="F753" s="119"/>
    </row>
    <row r="754">
      <c r="F754" s="119"/>
    </row>
    <row r="755">
      <c r="F755" s="119"/>
    </row>
    <row r="756">
      <c r="F756" s="119"/>
    </row>
    <row r="757">
      <c r="F757" s="119"/>
    </row>
    <row r="758">
      <c r="F758" s="119"/>
    </row>
    <row r="759">
      <c r="F759" s="119"/>
    </row>
    <row r="760">
      <c r="F760" s="119"/>
    </row>
    <row r="761">
      <c r="F761" s="119"/>
    </row>
    <row r="762">
      <c r="F762" s="119"/>
    </row>
    <row r="763">
      <c r="F763" s="119"/>
    </row>
    <row r="764">
      <c r="F764" s="119"/>
    </row>
    <row r="765">
      <c r="F765" s="119"/>
    </row>
    <row r="766">
      <c r="F766" s="119"/>
    </row>
    <row r="767">
      <c r="F767" s="119"/>
    </row>
    <row r="768">
      <c r="F768" s="119"/>
    </row>
    <row r="769">
      <c r="F769" s="119"/>
    </row>
    <row r="770">
      <c r="F770" s="119"/>
    </row>
    <row r="771">
      <c r="F771" s="119"/>
    </row>
    <row r="772">
      <c r="F772" s="119"/>
    </row>
    <row r="773">
      <c r="F773" s="119"/>
    </row>
    <row r="774">
      <c r="F774" s="119"/>
    </row>
    <row r="775">
      <c r="F775" s="119"/>
    </row>
    <row r="776">
      <c r="F776" s="119"/>
    </row>
    <row r="777">
      <c r="F777" s="119"/>
    </row>
    <row r="778">
      <c r="F778" s="119"/>
    </row>
    <row r="779">
      <c r="F779" s="119"/>
    </row>
    <row r="780">
      <c r="F780" s="119"/>
    </row>
    <row r="781">
      <c r="F781" s="119"/>
    </row>
    <row r="782">
      <c r="F782" s="119"/>
    </row>
    <row r="783">
      <c r="F783" s="119"/>
    </row>
    <row r="784">
      <c r="F784" s="119"/>
    </row>
    <row r="785">
      <c r="F785" s="119"/>
    </row>
    <row r="786">
      <c r="F786" s="119"/>
    </row>
    <row r="787">
      <c r="F787" s="119"/>
    </row>
    <row r="788">
      <c r="F788" s="119"/>
    </row>
    <row r="789">
      <c r="F789" s="119"/>
    </row>
    <row r="790">
      <c r="F790" s="119"/>
    </row>
    <row r="791">
      <c r="F791" s="119"/>
    </row>
    <row r="792">
      <c r="F792" s="119"/>
    </row>
    <row r="793">
      <c r="F793" s="119"/>
    </row>
    <row r="794">
      <c r="F794" s="119"/>
    </row>
    <row r="795">
      <c r="F795" s="119"/>
    </row>
    <row r="796">
      <c r="F796" s="119"/>
    </row>
    <row r="797">
      <c r="F797" s="119"/>
    </row>
    <row r="798">
      <c r="F798" s="119"/>
    </row>
    <row r="799">
      <c r="F799" s="119"/>
    </row>
    <row r="800">
      <c r="F800" s="119"/>
    </row>
    <row r="801">
      <c r="F801" s="119"/>
    </row>
    <row r="802">
      <c r="F802" s="119"/>
    </row>
    <row r="803">
      <c r="F803" s="119"/>
    </row>
    <row r="804">
      <c r="F804" s="119"/>
    </row>
    <row r="805">
      <c r="F805" s="119"/>
    </row>
    <row r="806">
      <c r="F806" s="119"/>
    </row>
    <row r="807">
      <c r="F807" s="119"/>
    </row>
    <row r="808">
      <c r="F808" s="119"/>
    </row>
    <row r="809">
      <c r="F809" s="119"/>
    </row>
    <row r="810">
      <c r="F810" s="119"/>
    </row>
    <row r="811">
      <c r="F811" s="119"/>
    </row>
    <row r="812">
      <c r="F812" s="119"/>
    </row>
    <row r="813">
      <c r="F813" s="119"/>
    </row>
    <row r="814">
      <c r="F814" s="119"/>
    </row>
    <row r="815">
      <c r="F815" s="119"/>
    </row>
    <row r="816">
      <c r="F816" s="119"/>
    </row>
    <row r="817">
      <c r="F817" s="119"/>
    </row>
    <row r="818">
      <c r="F818" s="119"/>
    </row>
    <row r="819">
      <c r="F819" s="119"/>
    </row>
    <row r="820">
      <c r="F820" s="119"/>
    </row>
    <row r="821">
      <c r="F821" s="119"/>
    </row>
    <row r="822">
      <c r="F822" s="119"/>
    </row>
    <row r="823">
      <c r="F823" s="119"/>
    </row>
    <row r="824">
      <c r="F824" s="119"/>
    </row>
    <row r="825">
      <c r="F825" s="119"/>
    </row>
    <row r="826">
      <c r="F826" s="119"/>
    </row>
    <row r="827">
      <c r="F827" s="119"/>
    </row>
    <row r="828">
      <c r="F828" s="119"/>
    </row>
    <row r="829">
      <c r="F829" s="119"/>
    </row>
    <row r="830">
      <c r="F830" s="119"/>
    </row>
    <row r="831">
      <c r="F831" s="119"/>
    </row>
    <row r="832">
      <c r="F832" s="119"/>
    </row>
    <row r="833">
      <c r="F833" s="119"/>
    </row>
    <row r="834">
      <c r="F834" s="119"/>
    </row>
    <row r="835">
      <c r="F835" s="119"/>
    </row>
    <row r="836">
      <c r="F836" s="119"/>
    </row>
    <row r="837">
      <c r="F837" s="119"/>
    </row>
    <row r="838">
      <c r="F838" s="119"/>
    </row>
    <row r="839">
      <c r="F839" s="119"/>
    </row>
    <row r="840">
      <c r="F840" s="119"/>
    </row>
    <row r="841">
      <c r="F841" s="119"/>
    </row>
    <row r="842">
      <c r="F842" s="119"/>
    </row>
    <row r="843">
      <c r="F843" s="119"/>
    </row>
    <row r="844">
      <c r="F844" s="119"/>
    </row>
    <row r="845">
      <c r="F845" s="119"/>
    </row>
    <row r="846">
      <c r="F846" s="119"/>
    </row>
    <row r="847">
      <c r="F847" s="119"/>
    </row>
    <row r="848">
      <c r="F848" s="119"/>
    </row>
    <row r="849">
      <c r="F849" s="119"/>
    </row>
    <row r="850">
      <c r="F850" s="119"/>
    </row>
    <row r="851">
      <c r="F851" s="119"/>
    </row>
    <row r="852">
      <c r="F852" s="119"/>
    </row>
    <row r="853">
      <c r="F853" s="119"/>
    </row>
    <row r="854">
      <c r="F854" s="119"/>
    </row>
    <row r="855">
      <c r="F855" s="119"/>
    </row>
    <row r="856">
      <c r="F856" s="119"/>
    </row>
    <row r="857">
      <c r="F857" s="119"/>
    </row>
    <row r="858">
      <c r="F858" s="119"/>
    </row>
    <row r="859">
      <c r="F859" s="119"/>
    </row>
    <row r="860">
      <c r="F860" s="119"/>
    </row>
    <row r="861">
      <c r="F861" s="119"/>
    </row>
    <row r="862">
      <c r="F862" s="119"/>
    </row>
    <row r="863">
      <c r="F863" s="119"/>
    </row>
    <row r="864">
      <c r="F864" s="119"/>
    </row>
    <row r="865">
      <c r="F865" s="119"/>
    </row>
    <row r="866">
      <c r="F866" s="119"/>
    </row>
    <row r="867">
      <c r="F867" s="119"/>
    </row>
    <row r="868">
      <c r="F868" s="119"/>
    </row>
    <row r="869">
      <c r="F869" s="119"/>
    </row>
    <row r="870">
      <c r="F870" s="119"/>
    </row>
    <row r="871">
      <c r="F871" s="119"/>
    </row>
    <row r="872">
      <c r="F872" s="119"/>
    </row>
    <row r="873">
      <c r="F873" s="119"/>
    </row>
    <row r="874">
      <c r="F874" s="119"/>
    </row>
    <row r="875">
      <c r="F875" s="119"/>
    </row>
    <row r="876">
      <c r="F876" s="119"/>
    </row>
    <row r="877">
      <c r="F877" s="119"/>
    </row>
    <row r="878">
      <c r="F878" s="119"/>
    </row>
    <row r="879">
      <c r="F879" s="119"/>
    </row>
    <row r="880">
      <c r="F880" s="119"/>
    </row>
    <row r="881">
      <c r="F881" s="119"/>
    </row>
    <row r="882">
      <c r="F882" s="119"/>
    </row>
    <row r="883">
      <c r="F883" s="119"/>
    </row>
    <row r="884">
      <c r="F884" s="119"/>
    </row>
    <row r="885">
      <c r="F885" s="119"/>
    </row>
    <row r="886">
      <c r="F886" s="119"/>
    </row>
    <row r="887">
      <c r="F887" s="119"/>
    </row>
    <row r="888">
      <c r="F888" s="119"/>
    </row>
    <row r="889">
      <c r="F889" s="119"/>
    </row>
    <row r="890">
      <c r="F890" s="119"/>
    </row>
    <row r="891">
      <c r="F891" s="119"/>
    </row>
    <row r="892">
      <c r="F892" s="119"/>
    </row>
    <row r="893">
      <c r="F893" s="119"/>
    </row>
    <row r="894">
      <c r="F894" s="119"/>
    </row>
    <row r="895">
      <c r="F895" s="119"/>
    </row>
    <row r="896">
      <c r="F896" s="119"/>
    </row>
    <row r="897">
      <c r="F897" s="119"/>
    </row>
    <row r="898">
      <c r="F898" s="119"/>
    </row>
    <row r="899">
      <c r="F899" s="119"/>
    </row>
    <row r="900">
      <c r="F900" s="119"/>
    </row>
    <row r="901">
      <c r="F901" s="119"/>
    </row>
    <row r="902">
      <c r="F902" s="119"/>
    </row>
    <row r="903">
      <c r="F903" s="119"/>
    </row>
    <row r="904">
      <c r="F904" s="119"/>
    </row>
    <row r="905">
      <c r="F905" s="119"/>
    </row>
    <row r="906">
      <c r="F906" s="119"/>
    </row>
    <row r="907">
      <c r="F907" s="119"/>
    </row>
    <row r="908">
      <c r="F908" s="119"/>
    </row>
    <row r="909">
      <c r="F909" s="119"/>
    </row>
    <row r="910">
      <c r="F910" s="119"/>
    </row>
    <row r="911">
      <c r="F911" s="119"/>
    </row>
    <row r="912">
      <c r="F912" s="119"/>
    </row>
    <row r="913">
      <c r="F913" s="119"/>
    </row>
    <row r="914">
      <c r="F914" s="119"/>
    </row>
    <row r="915">
      <c r="F915" s="119"/>
    </row>
    <row r="916">
      <c r="F916" s="119"/>
    </row>
    <row r="917">
      <c r="F917" s="119"/>
    </row>
    <row r="918">
      <c r="F918" s="119"/>
    </row>
    <row r="919">
      <c r="F919" s="119"/>
    </row>
    <row r="920">
      <c r="F920" s="119"/>
    </row>
    <row r="921">
      <c r="F921" s="119"/>
    </row>
    <row r="922">
      <c r="F922" s="119"/>
    </row>
    <row r="923">
      <c r="F923" s="119"/>
    </row>
    <row r="924">
      <c r="F924" s="119"/>
    </row>
    <row r="925">
      <c r="F925" s="119"/>
    </row>
    <row r="926">
      <c r="F926" s="119"/>
    </row>
    <row r="927">
      <c r="F927" s="119"/>
    </row>
    <row r="928">
      <c r="F928" s="119"/>
    </row>
    <row r="929">
      <c r="F929" s="119"/>
    </row>
    <row r="930">
      <c r="F930" s="119"/>
    </row>
    <row r="931">
      <c r="F931" s="119"/>
    </row>
    <row r="932">
      <c r="F932" s="119"/>
    </row>
    <row r="933">
      <c r="F933" s="119"/>
    </row>
    <row r="934">
      <c r="F934" s="119"/>
    </row>
    <row r="935">
      <c r="F935" s="119"/>
    </row>
    <row r="936">
      <c r="F936" s="119"/>
    </row>
    <row r="937">
      <c r="F937" s="119"/>
    </row>
    <row r="938">
      <c r="F938" s="119"/>
    </row>
    <row r="939">
      <c r="F939" s="119"/>
    </row>
    <row r="940">
      <c r="F940" s="119"/>
    </row>
    <row r="941">
      <c r="F941" s="119"/>
    </row>
    <row r="942">
      <c r="F942" s="119"/>
    </row>
    <row r="943">
      <c r="F943" s="119"/>
    </row>
    <row r="944">
      <c r="F944" s="119"/>
    </row>
    <row r="945">
      <c r="F945" s="119"/>
    </row>
    <row r="946">
      <c r="F946" s="119"/>
    </row>
    <row r="947">
      <c r="F947" s="119"/>
    </row>
    <row r="948">
      <c r="F948" s="119"/>
    </row>
    <row r="949">
      <c r="F949" s="119"/>
    </row>
    <row r="950">
      <c r="F950" s="119"/>
    </row>
    <row r="951">
      <c r="F951" s="119"/>
    </row>
    <row r="952">
      <c r="F952" s="119"/>
    </row>
    <row r="953">
      <c r="F953" s="119"/>
    </row>
    <row r="954">
      <c r="F954" s="119"/>
    </row>
    <row r="955">
      <c r="F955" s="119"/>
    </row>
    <row r="956">
      <c r="F956" s="119"/>
    </row>
    <row r="957">
      <c r="F957" s="119"/>
    </row>
    <row r="958">
      <c r="F958" s="119"/>
    </row>
    <row r="959">
      <c r="F959" s="119"/>
    </row>
    <row r="960">
      <c r="F960" s="119"/>
    </row>
    <row r="961">
      <c r="F961" s="119"/>
    </row>
    <row r="962">
      <c r="F962" s="119"/>
    </row>
    <row r="963">
      <c r="F963" s="119"/>
    </row>
    <row r="964">
      <c r="F964" s="119"/>
    </row>
    <row r="965">
      <c r="F965" s="119"/>
    </row>
    <row r="966">
      <c r="F966" s="119"/>
    </row>
    <row r="967">
      <c r="F967" s="119"/>
    </row>
    <row r="968">
      <c r="F968" s="119"/>
    </row>
    <row r="969">
      <c r="F969" s="119"/>
    </row>
    <row r="970">
      <c r="F970" s="119"/>
    </row>
    <row r="971">
      <c r="F971" s="119"/>
    </row>
    <row r="972">
      <c r="F972" s="119"/>
    </row>
    <row r="973">
      <c r="F973" s="119"/>
    </row>
    <row r="974">
      <c r="F974" s="119"/>
    </row>
    <row r="975">
      <c r="F975" s="119"/>
    </row>
    <row r="976">
      <c r="F976" s="119"/>
    </row>
    <row r="977">
      <c r="F977" s="119"/>
    </row>
    <row r="978">
      <c r="F978" s="119"/>
    </row>
    <row r="979">
      <c r="F979" s="119"/>
    </row>
    <row r="980">
      <c r="F980" s="119"/>
    </row>
    <row r="981">
      <c r="F981" s="119"/>
    </row>
    <row r="982">
      <c r="F982" s="119"/>
    </row>
    <row r="983">
      <c r="F983" s="119"/>
    </row>
    <row r="984">
      <c r="F984" s="119"/>
    </row>
    <row r="985">
      <c r="F985" s="119"/>
    </row>
    <row r="986">
      <c r="F986" s="119"/>
    </row>
    <row r="987">
      <c r="F987" s="119"/>
    </row>
    <row r="988">
      <c r="F988" s="119"/>
    </row>
    <row r="989">
      <c r="F989" s="119"/>
    </row>
    <row r="990">
      <c r="F990" s="119"/>
    </row>
    <row r="991">
      <c r="F991" s="119"/>
    </row>
    <row r="992">
      <c r="F992" s="119"/>
    </row>
    <row r="993">
      <c r="F993" s="119"/>
    </row>
    <row r="994">
      <c r="F994" s="119"/>
    </row>
    <row r="995">
      <c r="F995" s="119"/>
    </row>
    <row r="996">
      <c r="F996" s="119"/>
    </row>
    <row r="997">
      <c r="F997" s="119"/>
    </row>
    <row r="998">
      <c r="F998" s="119"/>
    </row>
    <row r="999">
      <c r="F999" s="119"/>
    </row>
    <row r="1000">
      <c r="F1000" s="119"/>
    </row>
    <row r="1001">
      <c r="F1001" s="119"/>
    </row>
    <row r="1002">
      <c r="F1002" s="119"/>
    </row>
    <row r="1003">
      <c r="F1003" s="119"/>
    </row>
    <row r="1004">
      <c r="F1004" s="119"/>
    </row>
    <row r="1005">
      <c r="F1005" s="119"/>
    </row>
    <row r="1006">
      <c r="F1006" s="119"/>
    </row>
    <row r="1007">
      <c r="F1007" s="119"/>
    </row>
    <row r="1008">
      <c r="F1008" s="119"/>
    </row>
    <row r="1009">
      <c r="F1009" s="119"/>
    </row>
    <row r="1010">
      <c r="F1010" s="119"/>
    </row>
    <row r="1011">
      <c r="F1011" s="119"/>
    </row>
    <row r="1012">
      <c r="F1012" s="119"/>
    </row>
  </sheetData>
  <dataValidations>
    <dataValidation type="list" allowBlank="1" sqref="D2:D240">
      <formula1>'Справочники'!$B$20:$B$26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38"/>
    <col customWidth="1" min="2" max="2" width="30.75"/>
    <col customWidth="1" min="7" max="7" width="15.88"/>
  </cols>
  <sheetData>
    <row r="1">
      <c r="B1" s="81" t="s">
        <v>285</v>
      </c>
      <c r="C1" s="87" t="s">
        <v>286</v>
      </c>
      <c r="D1" s="91"/>
      <c r="E1" s="91"/>
      <c r="F1" s="91"/>
      <c r="G1" s="91"/>
      <c r="H1" s="120"/>
      <c r="I1" s="120"/>
      <c r="J1" s="120"/>
    </row>
    <row r="2">
      <c r="B2" s="121" t="s">
        <v>24</v>
      </c>
      <c r="C2" s="122" t="s">
        <v>80</v>
      </c>
      <c r="D2" s="122" t="s">
        <v>81</v>
      </c>
      <c r="E2" s="122" t="s">
        <v>82</v>
      </c>
      <c r="F2" s="122" t="s">
        <v>83</v>
      </c>
      <c r="G2" s="122" t="s">
        <v>84</v>
      </c>
      <c r="H2" s="123"/>
      <c r="I2" s="123"/>
      <c r="J2" s="123"/>
    </row>
    <row r="3">
      <c r="B3" s="121" t="s">
        <v>15</v>
      </c>
      <c r="C3" s="122" t="s">
        <v>117</v>
      </c>
      <c r="D3" s="122" t="s">
        <v>93</v>
      </c>
      <c r="E3" s="122" t="s">
        <v>94</v>
      </c>
      <c r="F3" s="122" t="s">
        <v>95</v>
      </c>
      <c r="G3" s="122" t="s">
        <v>92</v>
      </c>
      <c r="H3" s="123"/>
      <c r="I3" s="123"/>
      <c r="J3" s="123"/>
    </row>
    <row r="4">
      <c r="B4" s="121" t="s">
        <v>30</v>
      </c>
      <c r="C4" s="122" t="s">
        <v>86</v>
      </c>
      <c r="D4" s="122" t="s">
        <v>87</v>
      </c>
      <c r="E4" s="122" t="s">
        <v>88</v>
      </c>
      <c r="F4" s="122" t="s">
        <v>89</v>
      </c>
      <c r="G4" s="122" t="s">
        <v>90</v>
      </c>
      <c r="H4" s="123"/>
      <c r="I4" s="123"/>
      <c r="J4" s="123"/>
    </row>
    <row r="5">
      <c r="B5" s="121" t="s">
        <v>21</v>
      </c>
      <c r="C5" s="122" t="s">
        <v>102</v>
      </c>
      <c r="D5" s="122" t="s">
        <v>97</v>
      </c>
      <c r="E5" s="122" t="s">
        <v>98</v>
      </c>
      <c r="F5" s="122" t="s">
        <v>99</v>
      </c>
      <c r="G5" s="122" t="s">
        <v>100</v>
      </c>
      <c r="H5" s="123"/>
      <c r="I5" s="123"/>
      <c r="J5" s="123"/>
    </row>
    <row r="6">
      <c r="B6" s="121" t="s">
        <v>18</v>
      </c>
      <c r="C6" s="122" t="s">
        <v>120</v>
      </c>
      <c r="D6" s="122" t="s">
        <v>116</v>
      </c>
      <c r="E6" s="122" t="s">
        <v>115</v>
      </c>
      <c r="F6" s="123"/>
      <c r="G6" s="123"/>
      <c r="H6" s="123"/>
      <c r="I6" s="123"/>
      <c r="J6" s="123"/>
    </row>
    <row r="7">
      <c r="B7" s="121" t="s">
        <v>26</v>
      </c>
      <c r="C7" s="122"/>
      <c r="D7" s="122"/>
      <c r="E7" s="122"/>
      <c r="F7" s="123"/>
      <c r="G7" s="123"/>
      <c r="H7" s="123"/>
      <c r="I7" s="123"/>
      <c r="J7" s="123"/>
    </row>
    <row r="8">
      <c r="B8" s="121" t="s">
        <v>37</v>
      </c>
      <c r="C8" s="122"/>
      <c r="D8" s="122"/>
      <c r="E8" s="122"/>
      <c r="F8" s="123"/>
      <c r="G8" s="123"/>
      <c r="H8" s="123"/>
      <c r="I8" s="123"/>
      <c r="J8" s="123"/>
    </row>
    <row r="9">
      <c r="B9" s="121" t="s">
        <v>34</v>
      </c>
      <c r="C9" s="122"/>
      <c r="D9" s="122"/>
      <c r="E9" s="122"/>
      <c r="F9" s="123"/>
      <c r="G9" s="123"/>
      <c r="H9" s="123"/>
      <c r="I9" s="123"/>
      <c r="J9" s="123"/>
    </row>
    <row r="10">
      <c r="B10" s="121" t="s">
        <v>48</v>
      </c>
      <c r="C10" s="122"/>
      <c r="D10" s="122"/>
      <c r="E10" s="122"/>
      <c r="F10" s="123"/>
      <c r="G10" s="123"/>
      <c r="H10" s="123"/>
      <c r="I10" s="123"/>
      <c r="J10" s="123"/>
    </row>
    <row r="11">
      <c r="B11" s="121" t="s">
        <v>40</v>
      </c>
      <c r="C11" s="122"/>
      <c r="D11" s="122"/>
      <c r="E11" s="122"/>
      <c r="F11" s="123"/>
      <c r="G11" s="123"/>
      <c r="H11" s="123"/>
      <c r="I11" s="123"/>
      <c r="J11" s="123"/>
    </row>
    <row r="12">
      <c r="B12" s="121" t="s">
        <v>43</v>
      </c>
      <c r="C12" s="122"/>
      <c r="D12" s="122"/>
      <c r="E12" s="122"/>
      <c r="F12" s="123"/>
      <c r="G12" s="123"/>
      <c r="H12" s="123"/>
      <c r="I12" s="123"/>
      <c r="J12" s="123"/>
    </row>
    <row r="13">
      <c r="B13" s="124" t="s">
        <v>46</v>
      </c>
      <c r="C13" s="122"/>
      <c r="D13" s="122"/>
      <c r="E13" s="122"/>
      <c r="F13" s="123"/>
      <c r="G13" s="123"/>
      <c r="H13" s="123"/>
      <c r="I13" s="123"/>
      <c r="J13" s="123"/>
    </row>
    <row r="15">
      <c r="B15" s="125" t="s">
        <v>287</v>
      </c>
    </row>
    <row r="16">
      <c r="B16" s="1" t="s">
        <v>288</v>
      </c>
    </row>
    <row r="17">
      <c r="B17" s="1" t="s">
        <v>289</v>
      </c>
    </row>
    <row r="19">
      <c r="B19" s="85" t="s">
        <v>290</v>
      </c>
    </row>
    <row r="20">
      <c r="B20" s="126" t="s">
        <v>281</v>
      </c>
    </row>
    <row r="21">
      <c r="B21" s="126" t="s">
        <v>277</v>
      </c>
    </row>
    <row r="22">
      <c r="B22" s="126" t="s">
        <v>278</v>
      </c>
    </row>
    <row r="23">
      <c r="B23" s="126" t="s">
        <v>279</v>
      </c>
    </row>
    <row r="24">
      <c r="B24" s="126" t="s">
        <v>283</v>
      </c>
    </row>
    <row r="25">
      <c r="B25" s="127"/>
    </row>
    <row r="26">
      <c r="B26" s="127"/>
    </row>
    <row r="28">
      <c r="B28" s="128" t="s">
        <v>291</v>
      </c>
      <c r="C28" s="129"/>
    </row>
    <row r="29">
      <c r="A29" s="130">
        <v>1.0</v>
      </c>
      <c r="B29" s="131" t="s">
        <v>16</v>
      </c>
      <c r="C29" s="132">
        <v>31.0</v>
      </c>
    </row>
    <row r="30">
      <c r="A30" s="130">
        <v>2.0</v>
      </c>
      <c r="B30" s="131" t="s">
        <v>19</v>
      </c>
      <c r="C30" s="132">
        <v>28.0</v>
      </c>
    </row>
    <row r="31">
      <c r="A31" s="130">
        <v>3.0</v>
      </c>
      <c r="B31" s="131" t="s">
        <v>22</v>
      </c>
      <c r="C31" s="132">
        <v>31.0</v>
      </c>
    </row>
    <row r="32">
      <c r="A32" s="130">
        <v>4.0</v>
      </c>
      <c r="B32" s="131" t="s">
        <v>25</v>
      </c>
      <c r="C32" s="132">
        <v>30.0</v>
      </c>
    </row>
    <row r="33">
      <c r="A33" s="130">
        <v>5.0</v>
      </c>
      <c r="B33" s="131" t="s">
        <v>27</v>
      </c>
      <c r="C33" s="132">
        <v>31.0</v>
      </c>
    </row>
    <row r="34">
      <c r="A34" s="130">
        <v>6.0</v>
      </c>
      <c r="B34" s="131" t="s">
        <v>32</v>
      </c>
      <c r="C34" s="132">
        <v>30.0</v>
      </c>
    </row>
    <row r="35">
      <c r="A35" s="130">
        <v>7.0</v>
      </c>
      <c r="B35" s="131" t="s">
        <v>35</v>
      </c>
      <c r="C35" s="132">
        <v>31.0</v>
      </c>
    </row>
    <row r="36">
      <c r="A36" s="130">
        <v>8.0</v>
      </c>
      <c r="B36" s="131" t="s">
        <v>38</v>
      </c>
      <c r="C36" s="132">
        <v>31.0</v>
      </c>
    </row>
    <row r="37">
      <c r="A37" s="130">
        <v>9.0</v>
      </c>
      <c r="B37" s="131" t="s">
        <v>41</v>
      </c>
      <c r="C37" s="132">
        <v>30.0</v>
      </c>
    </row>
    <row r="38">
      <c r="A38" s="130">
        <v>10.0</v>
      </c>
      <c r="B38" s="131" t="s">
        <v>44</v>
      </c>
      <c r="C38" s="132">
        <v>31.0</v>
      </c>
    </row>
    <row r="39">
      <c r="A39" s="130">
        <v>11.0</v>
      </c>
      <c r="B39" s="131" t="s">
        <v>47</v>
      </c>
      <c r="C39" s="132">
        <v>30.0</v>
      </c>
    </row>
    <row r="40">
      <c r="A40" s="130">
        <v>12.0</v>
      </c>
      <c r="B40" s="131" t="s">
        <v>49</v>
      </c>
      <c r="C40" s="132">
        <v>31.0</v>
      </c>
    </row>
  </sheetData>
  <mergeCells count="1">
    <mergeCell ref="B28:C28"/>
  </mergeCells>
  <drawing r:id="rId1"/>
</worksheet>
</file>